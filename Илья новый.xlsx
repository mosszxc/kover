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38885c87-0a14-4047-825b-e8fe521d32c7\"/>
    </mc:Choice>
  </mc:AlternateContent>
  <xr:revisionPtr revIDLastSave="0" documentId="8_{057929C9-2951-4943-AB93-52FCE4F21856}" xr6:coauthVersionLast="47" xr6:coauthVersionMax="47" xr10:uidLastSave="{00000000-0000-0000-0000-000000000000}"/>
  <bookViews>
    <workbookView xWindow="-120" yWindow="-120" windowWidth="19440" windowHeight="10440" tabRatio="500" firstSheet="3" activeTab="9"/>
  </bookViews>
  <sheets>
    <sheet name="Неделя" sheetId="1" r:id="rId1"/>
    <sheet name="Понедельник" sheetId="2" r:id="rId2"/>
    <sheet name="Вторник" sheetId="3" r:id="rId3"/>
    <sheet name="среда" sheetId="4" r:id="rId4"/>
    <sheet name="четверг" sheetId="5" r:id="rId5"/>
    <sheet name="пятница" sheetId="6" r:id="rId6"/>
    <sheet name="ПН" sheetId="7" r:id="rId7"/>
    <sheet name="ВТ" sheetId="8" r:id="rId8"/>
    <sheet name="СР" sheetId="9" r:id="rId9"/>
    <sheet name="ЧТ" sheetId="10" r:id="rId10"/>
    <sheet name="ПТ" sheetId="11" r:id="rId11"/>
  </sheets>
  <definedNames>
    <definedName name="_xlnm._FilterDatabase" localSheetId="2" hidden="1">Вторник!$A$1:$H$161</definedName>
    <definedName name="_xlnm._FilterDatabase" localSheetId="1" hidden="1">Понедельник!$A$1:$I$180</definedName>
    <definedName name="_xlnm._FilterDatabase" localSheetId="5" hidden="1">пятница!$A$1:$H$327</definedName>
    <definedName name="_xlnm._FilterDatabase" localSheetId="3" hidden="1">среда!$B$1:$I$233</definedName>
    <definedName name="_xlnm._FilterDatabase" localSheetId="4" hidden="1">четверг!$A$1:$H$213</definedName>
    <definedName name="Excel_BuiltIn__FilterDatabase" localSheetId="2">Вторник!$A$1:$H$65497</definedName>
    <definedName name="Excel_BuiltIn__FilterDatabase" localSheetId="6">ПН!$B$2:$D$47</definedName>
    <definedName name="Excel_BuiltIn__FilterDatabase" localSheetId="1">Понедельник!$A$1:$I$151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0" l="1"/>
  <c r="C25" i="10"/>
  <c r="C54" i="9"/>
  <c r="C65" i="7"/>
  <c r="H65" i="7"/>
  <c r="G65" i="7"/>
  <c r="F65" i="7"/>
  <c r="E65" i="7"/>
  <c r="D65" i="7"/>
  <c r="F28" i="7"/>
  <c r="E28" i="7"/>
  <c r="D28" i="7"/>
  <c r="C53" i="9"/>
  <c r="C62" i="10"/>
  <c r="C68" i="11"/>
  <c r="C68" i="8"/>
  <c r="C60" i="11"/>
  <c r="C33" i="11"/>
  <c r="C26" i="9"/>
  <c r="C61" i="8"/>
  <c r="C30" i="8"/>
  <c r="C28" i="7"/>
  <c r="A1" i="3"/>
  <c r="B1" i="3"/>
  <c r="C1" i="3"/>
  <c r="D1" i="3"/>
  <c r="E1" i="3"/>
  <c r="F1" i="3"/>
  <c r="G1" i="3"/>
  <c r="H1" i="3"/>
  <c r="A2" i="3"/>
  <c r="B2" i="3"/>
  <c r="C2" i="3"/>
  <c r="D2" i="3"/>
  <c r="E2" i="3"/>
  <c r="F2" i="3"/>
  <c r="G2" i="3"/>
  <c r="H2" i="3"/>
  <c r="A3" i="3"/>
  <c r="B3" i="3"/>
  <c r="C3" i="3"/>
  <c r="D3" i="3"/>
  <c r="E3" i="3"/>
  <c r="F3" i="3"/>
  <c r="G3" i="3"/>
  <c r="H3" i="3"/>
  <c r="A4" i="3"/>
  <c r="C4" i="3"/>
  <c r="D4" i="3"/>
  <c r="E4" i="3"/>
  <c r="F4" i="3"/>
  <c r="G4" i="3"/>
  <c r="H4" i="3"/>
  <c r="A5" i="3"/>
  <c r="B5" i="3"/>
  <c r="C5" i="3"/>
  <c r="D5" i="3"/>
  <c r="E5" i="3"/>
  <c r="F5" i="3"/>
  <c r="G5" i="3"/>
  <c r="H5" i="3"/>
  <c r="A6" i="3"/>
  <c r="B6" i="3"/>
  <c r="C6" i="3"/>
  <c r="D6" i="3"/>
  <c r="E6" i="3"/>
  <c r="F6" i="3"/>
  <c r="G6" i="3"/>
  <c r="H6" i="3"/>
  <c r="A7" i="3"/>
  <c r="C7" i="3"/>
  <c r="D7" i="3"/>
  <c r="E7" i="3"/>
  <c r="F7" i="3"/>
  <c r="G7" i="3"/>
  <c r="H7" i="3"/>
  <c r="A8" i="3"/>
  <c r="B8" i="3"/>
  <c r="C8" i="3"/>
  <c r="D8" i="3"/>
  <c r="E8" i="3"/>
  <c r="F8" i="3"/>
  <c r="G8" i="3"/>
  <c r="H8" i="3"/>
  <c r="A9" i="3"/>
  <c r="B9" i="3"/>
  <c r="C9" i="3"/>
  <c r="D9" i="3"/>
  <c r="E9" i="3"/>
  <c r="F9" i="3"/>
  <c r="G9" i="3"/>
  <c r="H9" i="3"/>
  <c r="A10" i="3"/>
  <c r="B10" i="3"/>
  <c r="C10" i="3"/>
  <c r="D10" i="3"/>
  <c r="E10" i="3"/>
  <c r="F10" i="3"/>
  <c r="G10" i="3"/>
  <c r="H10" i="3"/>
  <c r="A11" i="3"/>
  <c r="C11" i="3"/>
  <c r="D11" i="3"/>
  <c r="E11" i="3"/>
  <c r="F11" i="3"/>
  <c r="G11" i="3"/>
  <c r="H11" i="3"/>
  <c r="A12" i="3"/>
  <c r="B12" i="3"/>
  <c r="C12" i="3"/>
  <c r="D12" i="3"/>
  <c r="E12" i="3"/>
  <c r="F12" i="3"/>
  <c r="G12" i="3"/>
  <c r="H12" i="3"/>
  <c r="A13" i="3"/>
  <c r="B13" i="3"/>
  <c r="C13" i="3"/>
  <c r="D13" i="3"/>
  <c r="E13" i="3"/>
  <c r="F13" i="3"/>
  <c r="G13" i="3"/>
  <c r="H13" i="3"/>
  <c r="A14" i="3"/>
  <c r="B14" i="3"/>
  <c r="C14" i="3"/>
  <c r="D14" i="3"/>
  <c r="E14" i="3"/>
  <c r="F14" i="3"/>
  <c r="G14" i="3"/>
  <c r="H14" i="3"/>
  <c r="A15" i="3"/>
  <c r="C15" i="3"/>
  <c r="D15" i="3"/>
  <c r="E15" i="3"/>
  <c r="F15" i="3"/>
  <c r="G15" i="3"/>
  <c r="H15" i="3"/>
  <c r="A16" i="3"/>
  <c r="C16" i="3"/>
  <c r="D16" i="3"/>
  <c r="E16" i="3"/>
  <c r="F16" i="3"/>
  <c r="G16" i="3"/>
  <c r="H16" i="3"/>
  <c r="A17" i="3"/>
  <c r="B17" i="3"/>
  <c r="C17" i="3"/>
  <c r="D17" i="3"/>
  <c r="E17" i="3"/>
  <c r="F17" i="3"/>
  <c r="G17" i="3"/>
  <c r="H17" i="3"/>
  <c r="A18" i="3"/>
  <c r="B18" i="3"/>
  <c r="C18" i="3"/>
  <c r="D18" i="3"/>
  <c r="E18" i="3"/>
  <c r="F18" i="3"/>
  <c r="G18" i="3"/>
  <c r="H18" i="3"/>
  <c r="A19" i="3"/>
  <c r="B19" i="3"/>
  <c r="C19" i="3"/>
  <c r="D19" i="3"/>
  <c r="E19" i="3"/>
  <c r="F19" i="3"/>
  <c r="G19" i="3"/>
  <c r="H19" i="3"/>
  <c r="A20" i="3"/>
  <c r="B20" i="3"/>
  <c r="C20" i="3"/>
  <c r="D20" i="3"/>
  <c r="E20" i="3"/>
  <c r="F20" i="3"/>
  <c r="G20" i="3"/>
  <c r="H20" i="3"/>
  <c r="A21" i="3"/>
  <c r="B21" i="3"/>
  <c r="C21" i="3"/>
  <c r="D21" i="3"/>
  <c r="E21" i="3"/>
  <c r="F21" i="3"/>
  <c r="G21" i="3"/>
  <c r="H21" i="3"/>
  <c r="A22" i="3"/>
  <c r="B22" i="3"/>
  <c r="C22" i="3"/>
  <c r="D22" i="3"/>
  <c r="E22" i="3"/>
  <c r="F22" i="3"/>
  <c r="G22" i="3"/>
  <c r="H22" i="3"/>
  <c r="A23" i="3"/>
  <c r="B23" i="3"/>
  <c r="C23" i="3"/>
  <c r="D23" i="3"/>
  <c r="E23" i="3"/>
  <c r="F23" i="3"/>
  <c r="G23" i="3"/>
  <c r="H23" i="3"/>
  <c r="A24" i="3"/>
  <c r="B24" i="3"/>
  <c r="C24" i="3"/>
  <c r="D24" i="3"/>
  <c r="E24" i="3"/>
  <c r="F24" i="3"/>
  <c r="G24" i="3"/>
  <c r="H24" i="3"/>
  <c r="A25" i="3"/>
  <c r="B25" i="3"/>
  <c r="C25" i="3"/>
  <c r="D25" i="3"/>
  <c r="E25" i="3"/>
  <c r="F25" i="3"/>
  <c r="G25" i="3"/>
  <c r="H25" i="3"/>
  <c r="A26" i="3"/>
  <c r="B26" i="3"/>
  <c r="C26" i="3"/>
  <c r="D26" i="3"/>
  <c r="E26" i="3"/>
  <c r="F26" i="3"/>
  <c r="G26" i="3"/>
  <c r="H26" i="3"/>
  <c r="A27" i="3"/>
  <c r="B27" i="3"/>
  <c r="C27" i="3"/>
  <c r="D27" i="3"/>
  <c r="E27" i="3"/>
  <c r="F27" i="3"/>
  <c r="G27" i="3"/>
  <c r="H27" i="3"/>
  <c r="A28" i="3"/>
  <c r="C28" i="3"/>
  <c r="D28" i="3"/>
  <c r="E28" i="3"/>
  <c r="F28" i="3"/>
  <c r="G28" i="3"/>
  <c r="H28" i="3"/>
  <c r="A29" i="3"/>
  <c r="C29" i="3"/>
  <c r="D29" i="3"/>
  <c r="E29" i="3"/>
  <c r="F29" i="3"/>
  <c r="G29" i="3"/>
  <c r="H29" i="3"/>
  <c r="A30" i="3"/>
  <c r="C30" i="3"/>
  <c r="D30" i="3"/>
  <c r="E30" i="3"/>
  <c r="F30" i="3"/>
  <c r="G30" i="3"/>
  <c r="H30" i="3"/>
  <c r="A31" i="3"/>
  <c r="C31" i="3"/>
  <c r="D31" i="3"/>
  <c r="E31" i="3"/>
  <c r="F31" i="3"/>
  <c r="G31" i="3"/>
  <c r="H31" i="3"/>
  <c r="A32" i="3"/>
  <c r="B32" i="3"/>
  <c r="C32" i="3"/>
  <c r="D32" i="3"/>
  <c r="E32" i="3"/>
  <c r="F32" i="3"/>
  <c r="G32" i="3"/>
  <c r="H32" i="3"/>
  <c r="A33" i="3"/>
  <c r="B33" i="3"/>
  <c r="C33" i="3"/>
  <c r="D33" i="3"/>
  <c r="E33" i="3"/>
  <c r="F33" i="3"/>
  <c r="G33" i="3"/>
  <c r="H33" i="3"/>
  <c r="A34" i="3"/>
  <c r="B34" i="3"/>
  <c r="C34" i="3"/>
  <c r="D34" i="3"/>
  <c r="E34" i="3"/>
  <c r="F34" i="3"/>
  <c r="G34" i="3"/>
  <c r="H34" i="3"/>
  <c r="A35" i="3"/>
  <c r="B35" i="3"/>
  <c r="C35" i="3"/>
  <c r="D35" i="3"/>
  <c r="E35" i="3"/>
  <c r="F35" i="3"/>
  <c r="G35" i="3"/>
  <c r="H35" i="3"/>
  <c r="A36" i="3"/>
  <c r="B36" i="3"/>
  <c r="C36" i="3"/>
  <c r="D36" i="3"/>
  <c r="E36" i="3"/>
  <c r="F36" i="3"/>
  <c r="G36" i="3"/>
  <c r="H36" i="3"/>
  <c r="A37" i="3"/>
  <c r="B37" i="3"/>
  <c r="C37" i="3"/>
  <c r="D37" i="3"/>
  <c r="E37" i="3"/>
  <c r="F37" i="3"/>
  <c r="G37" i="3"/>
  <c r="H37" i="3"/>
  <c r="A38" i="3"/>
  <c r="B38" i="3"/>
  <c r="C38" i="3"/>
  <c r="D38" i="3"/>
  <c r="E38" i="3"/>
  <c r="F38" i="3"/>
  <c r="G38" i="3"/>
  <c r="H38" i="3"/>
  <c r="A39" i="3"/>
  <c r="B39" i="3"/>
  <c r="C39" i="3"/>
  <c r="D39" i="3"/>
  <c r="E39" i="3"/>
  <c r="F39" i="3"/>
  <c r="G39" i="3"/>
  <c r="H39" i="3"/>
  <c r="A40" i="3"/>
  <c r="B40" i="3"/>
  <c r="C40" i="3"/>
  <c r="D40" i="3"/>
  <c r="E40" i="3"/>
  <c r="F40" i="3"/>
  <c r="G40" i="3"/>
  <c r="H40" i="3"/>
  <c r="A41" i="3"/>
  <c r="B41" i="3"/>
  <c r="C41" i="3"/>
  <c r="D41" i="3"/>
  <c r="E41" i="3"/>
  <c r="F41" i="3"/>
  <c r="G41" i="3"/>
  <c r="H41" i="3"/>
  <c r="A42" i="3"/>
  <c r="B42" i="3"/>
  <c r="C42" i="3"/>
  <c r="D42" i="3"/>
  <c r="E42" i="3"/>
  <c r="F42" i="3"/>
  <c r="G42" i="3"/>
  <c r="H42" i="3"/>
  <c r="A43" i="3"/>
  <c r="B43" i="3"/>
  <c r="C43" i="3"/>
  <c r="D43" i="3"/>
  <c r="E43" i="3"/>
  <c r="F43" i="3"/>
  <c r="G43" i="3"/>
  <c r="H43" i="3"/>
  <c r="A44" i="3"/>
  <c r="B44" i="3"/>
  <c r="C44" i="3"/>
  <c r="D44" i="3"/>
  <c r="E44" i="3"/>
  <c r="F44" i="3"/>
  <c r="G44" i="3"/>
  <c r="H44" i="3"/>
  <c r="A45" i="3"/>
  <c r="B45" i="3"/>
  <c r="C45" i="3"/>
  <c r="D45" i="3"/>
  <c r="E45" i="3"/>
  <c r="F45" i="3"/>
  <c r="G45" i="3"/>
  <c r="H45" i="3"/>
  <c r="A46" i="3"/>
  <c r="B46" i="3"/>
  <c r="C46" i="3"/>
  <c r="D46" i="3"/>
  <c r="E46" i="3"/>
  <c r="F46" i="3"/>
  <c r="G46" i="3"/>
  <c r="H46" i="3"/>
  <c r="A47" i="3"/>
  <c r="B47" i="3"/>
  <c r="C47" i="3"/>
  <c r="D47" i="3"/>
  <c r="E47" i="3"/>
  <c r="F47" i="3"/>
  <c r="G47" i="3"/>
  <c r="H47" i="3"/>
  <c r="A48" i="3"/>
  <c r="B48" i="3"/>
  <c r="C48" i="3"/>
  <c r="D48" i="3"/>
  <c r="E48" i="3"/>
  <c r="F48" i="3"/>
  <c r="G48" i="3"/>
  <c r="H48" i="3"/>
  <c r="A49" i="3"/>
  <c r="B49" i="3"/>
  <c r="C49" i="3"/>
  <c r="D49" i="3"/>
  <c r="E49" i="3"/>
  <c r="F49" i="3"/>
  <c r="G49" i="3"/>
  <c r="H49" i="3"/>
  <c r="A50" i="3"/>
  <c r="B50" i="3"/>
  <c r="C50" i="3"/>
  <c r="D50" i="3"/>
  <c r="E50" i="3"/>
  <c r="F50" i="3"/>
  <c r="G50" i="3"/>
  <c r="H50" i="3"/>
  <c r="A51" i="3"/>
  <c r="B51" i="3"/>
  <c r="C51" i="3"/>
  <c r="D51" i="3"/>
  <c r="E51" i="3"/>
  <c r="F51" i="3"/>
  <c r="G51" i="3"/>
  <c r="H51" i="3"/>
  <c r="A52" i="3"/>
  <c r="B52" i="3"/>
  <c r="C52" i="3"/>
  <c r="D52" i="3"/>
  <c r="E52" i="3"/>
  <c r="F52" i="3"/>
  <c r="G52" i="3"/>
  <c r="H52" i="3"/>
  <c r="A53" i="3"/>
  <c r="B53" i="3"/>
  <c r="C53" i="3"/>
  <c r="D53" i="3"/>
  <c r="E53" i="3"/>
  <c r="F53" i="3"/>
  <c r="G53" i="3"/>
  <c r="H53" i="3"/>
  <c r="A54" i="3"/>
  <c r="B54" i="3"/>
  <c r="C54" i="3"/>
  <c r="D54" i="3"/>
  <c r="E54" i="3"/>
  <c r="F54" i="3"/>
  <c r="G54" i="3"/>
  <c r="H54" i="3"/>
  <c r="A55" i="3"/>
  <c r="B55" i="3"/>
  <c r="C55" i="3"/>
  <c r="D55" i="3"/>
  <c r="E55" i="3"/>
  <c r="F55" i="3"/>
  <c r="G55" i="3"/>
  <c r="H55" i="3"/>
  <c r="A56" i="3"/>
  <c r="C56" i="3"/>
  <c r="D56" i="3"/>
  <c r="E56" i="3"/>
  <c r="F56" i="3"/>
  <c r="G56" i="3"/>
  <c r="H56" i="3"/>
  <c r="A57" i="3"/>
  <c r="B57" i="3"/>
  <c r="C57" i="3"/>
  <c r="D57" i="3"/>
  <c r="E57" i="3"/>
  <c r="F57" i="3"/>
  <c r="G57" i="3"/>
  <c r="H57" i="3"/>
  <c r="A58" i="3"/>
  <c r="B58" i="3"/>
  <c r="C58" i="3"/>
  <c r="D58" i="3"/>
  <c r="E58" i="3"/>
  <c r="F58" i="3"/>
  <c r="G58" i="3"/>
  <c r="H58" i="3"/>
  <c r="A59" i="3"/>
  <c r="B59" i="3"/>
  <c r="C59" i="3"/>
  <c r="D59" i="3"/>
  <c r="E59" i="3"/>
  <c r="F59" i="3"/>
  <c r="G59" i="3"/>
  <c r="H59" i="3"/>
  <c r="A60" i="3"/>
  <c r="B60" i="3"/>
  <c r="C60" i="3"/>
  <c r="D60" i="3"/>
  <c r="E60" i="3"/>
  <c r="F60" i="3"/>
  <c r="G60" i="3"/>
  <c r="H60" i="3"/>
  <c r="A61" i="3"/>
  <c r="B61" i="3"/>
  <c r="C61" i="3"/>
  <c r="D61" i="3"/>
  <c r="E61" i="3"/>
  <c r="F61" i="3"/>
  <c r="G61" i="3"/>
  <c r="H61" i="3"/>
  <c r="A62" i="3"/>
  <c r="B62" i="3"/>
  <c r="C62" i="3"/>
  <c r="D62" i="3"/>
  <c r="E62" i="3"/>
  <c r="F62" i="3"/>
  <c r="G62" i="3"/>
  <c r="H62" i="3"/>
  <c r="A63" i="3"/>
  <c r="B63" i="3"/>
  <c r="C63" i="3"/>
  <c r="D63" i="3"/>
  <c r="E63" i="3"/>
  <c r="F63" i="3"/>
  <c r="G63" i="3"/>
  <c r="H63" i="3"/>
  <c r="A64" i="3"/>
  <c r="B64" i="3"/>
  <c r="C64" i="3"/>
  <c r="D64" i="3"/>
  <c r="E64" i="3"/>
  <c r="F64" i="3"/>
  <c r="G64" i="3"/>
  <c r="H64" i="3"/>
  <c r="A65" i="3"/>
  <c r="B65" i="3"/>
  <c r="C65" i="3"/>
  <c r="D65" i="3"/>
  <c r="E65" i="3"/>
  <c r="F65" i="3"/>
  <c r="G65" i="3"/>
  <c r="H65" i="3"/>
  <c r="A66" i="3"/>
  <c r="B66" i="3"/>
  <c r="C66" i="3"/>
  <c r="D66" i="3"/>
  <c r="E66" i="3"/>
  <c r="F66" i="3"/>
  <c r="G66" i="3"/>
  <c r="H66" i="3"/>
  <c r="A67" i="3"/>
  <c r="B67" i="3"/>
  <c r="C67" i="3"/>
  <c r="D67" i="3"/>
  <c r="E67" i="3"/>
  <c r="F67" i="3"/>
  <c r="G67" i="3"/>
  <c r="H67" i="3"/>
  <c r="A68" i="3"/>
  <c r="B68" i="3"/>
  <c r="C68" i="3"/>
  <c r="D68" i="3"/>
  <c r="E68" i="3"/>
  <c r="F68" i="3"/>
  <c r="G68" i="3"/>
  <c r="H68" i="3"/>
  <c r="A69" i="3"/>
  <c r="B69" i="3"/>
  <c r="C69" i="3"/>
  <c r="D69" i="3"/>
  <c r="E69" i="3"/>
  <c r="F69" i="3"/>
  <c r="G69" i="3"/>
  <c r="H69" i="3"/>
  <c r="A70" i="3"/>
  <c r="B70" i="3"/>
  <c r="C70" i="3"/>
  <c r="D70" i="3"/>
  <c r="E70" i="3"/>
  <c r="F70" i="3"/>
  <c r="G70" i="3"/>
  <c r="H70" i="3"/>
  <c r="A71" i="3"/>
  <c r="C71" i="3"/>
  <c r="D71" i="3"/>
  <c r="E71" i="3"/>
  <c r="F71" i="3"/>
  <c r="G71" i="3"/>
  <c r="H71" i="3"/>
  <c r="A72" i="3"/>
  <c r="C72" i="3"/>
  <c r="D72" i="3"/>
  <c r="E72" i="3"/>
  <c r="F72" i="3"/>
  <c r="G72" i="3"/>
  <c r="H72" i="3"/>
  <c r="A73" i="3"/>
  <c r="B73" i="3"/>
  <c r="C73" i="3"/>
  <c r="D73" i="3"/>
  <c r="E73" i="3"/>
  <c r="F73" i="3"/>
  <c r="G73" i="3"/>
  <c r="H73" i="3"/>
  <c r="A74" i="3"/>
  <c r="B74" i="3"/>
  <c r="C74" i="3"/>
  <c r="D74" i="3"/>
  <c r="E74" i="3"/>
  <c r="F74" i="3"/>
  <c r="G74" i="3"/>
  <c r="H74" i="3"/>
  <c r="A75" i="3"/>
  <c r="B75" i="3"/>
  <c r="C75" i="3"/>
  <c r="D75" i="3"/>
  <c r="E75" i="3"/>
  <c r="F75" i="3"/>
  <c r="G75" i="3"/>
  <c r="H75" i="3"/>
  <c r="A76" i="3"/>
  <c r="C76" i="3"/>
  <c r="D76" i="3"/>
  <c r="E76" i="3"/>
  <c r="F76" i="3"/>
  <c r="G76" i="3"/>
  <c r="H76" i="3"/>
  <c r="A77" i="3"/>
  <c r="B77" i="3"/>
  <c r="C77" i="3"/>
  <c r="D77" i="3"/>
  <c r="E77" i="3"/>
  <c r="F77" i="3"/>
  <c r="G77" i="3"/>
  <c r="H77" i="3"/>
  <c r="A78" i="3"/>
  <c r="B78" i="3"/>
  <c r="C78" i="3"/>
  <c r="D78" i="3"/>
  <c r="E78" i="3"/>
  <c r="F78" i="3"/>
  <c r="G78" i="3"/>
  <c r="H78" i="3"/>
  <c r="A79" i="3"/>
  <c r="B79" i="3"/>
  <c r="C79" i="3"/>
  <c r="D79" i="3"/>
  <c r="E79" i="3"/>
  <c r="F79" i="3"/>
  <c r="G79" i="3"/>
  <c r="H79" i="3"/>
  <c r="A80" i="3"/>
  <c r="C80" i="3"/>
  <c r="D80" i="3"/>
  <c r="E80" i="3"/>
  <c r="F80" i="3"/>
  <c r="G80" i="3"/>
  <c r="H80" i="3"/>
  <c r="A81" i="3"/>
  <c r="C81" i="3"/>
  <c r="D81" i="3"/>
  <c r="E81" i="3"/>
  <c r="F81" i="3"/>
  <c r="G81" i="3"/>
  <c r="H81" i="3"/>
  <c r="A82" i="3"/>
  <c r="C82" i="3"/>
  <c r="D82" i="3"/>
  <c r="E82" i="3"/>
  <c r="F82" i="3"/>
  <c r="G82" i="3"/>
  <c r="H82" i="3"/>
  <c r="A83" i="3"/>
  <c r="B83" i="3"/>
  <c r="C83" i="3"/>
  <c r="D83" i="3"/>
  <c r="E83" i="3"/>
  <c r="F83" i="3"/>
  <c r="G83" i="3"/>
  <c r="H83" i="3"/>
  <c r="A84" i="3"/>
  <c r="C84" i="3"/>
  <c r="D84" i="3"/>
  <c r="E84" i="3"/>
  <c r="F84" i="3"/>
  <c r="G84" i="3"/>
  <c r="H84" i="3"/>
  <c r="A85" i="3"/>
  <c r="C85" i="3"/>
  <c r="D85" i="3"/>
  <c r="E85" i="3"/>
  <c r="F85" i="3"/>
  <c r="G85" i="3"/>
  <c r="H85" i="3"/>
  <c r="A86" i="3"/>
  <c r="B86" i="3"/>
  <c r="C86" i="3"/>
  <c r="D86" i="3"/>
  <c r="E86" i="3"/>
  <c r="F86" i="3"/>
  <c r="G86" i="3"/>
  <c r="H86" i="3"/>
  <c r="A87" i="3"/>
  <c r="B87" i="3"/>
  <c r="C87" i="3"/>
  <c r="D87" i="3"/>
  <c r="E87" i="3"/>
  <c r="F87" i="3"/>
  <c r="G87" i="3"/>
  <c r="H87" i="3"/>
  <c r="A88" i="3"/>
  <c r="B88" i="3"/>
  <c r="C88" i="3"/>
  <c r="D88" i="3"/>
  <c r="E88" i="3"/>
  <c r="F88" i="3"/>
  <c r="G88" i="3"/>
  <c r="H88" i="3"/>
  <c r="A89" i="3"/>
  <c r="C89" i="3"/>
  <c r="D89" i="3"/>
  <c r="E89" i="3"/>
  <c r="F89" i="3"/>
  <c r="G89" i="3"/>
  <c r="H89" i="3"/>
  <c r="A90" i="3"/>
  <c r="C90" i="3"/>
  <c r="D90" i="3"/>
  <c r="E90" i="3"/>
  <c r="F90" i="3"/>
  <c r="G90" i="3"/>
  <c r="H90" i="3"/>
  <c r="A91" i="3"/>
  <c r="C91" i="3"/>
  <c r="D91" i="3"/>
  <c r="E91" i="3"/>
  <c r="F91" i="3"/>
  <c r="G91" i="3"/>
  <c r="H91" i="3"/>
  <c r="A92" i="3"/>
  <c r="C92" i="3"/>
  <c r="D92" i="3"/>
  <c r="E92" i="3"/>
  <c r="F92" i="3"/>
  <c r="G92" i="3"/>
  <c r="H92" i="3"/>
  <c r="A93" i="3"/>
  <c r="C93" i="3"/>
  <c r="D93" i="3"/>
  <c r="E93" i="3"/>
  <c r="F93" i="3"/>
  <c r="G93" i="3"/>
  <c r="H93" i="3"/>
  <c r="A94" i="3"/>
  <c r="C94" i="3"/>
  <c r="D94" i="3"/>
  <c r="E94" i="3"/>
  <c r="F94" i="3"/>
  <c r="G94" i="3"/>
  <c r="H94" i="3"/>
  <c r="A95" i="3"/>
  <c r="C95" i="3"/>
  <c r="D95" i="3"/>
  <c r="E95" i="3"/>
  <c r="F95" i="3"/>
  <c r="G95" i="3"/>
  <c r="H95" i="3"/>
  <c r="A96" i="3"/>
  <c r="C96" i="3"/>
  <c r="D96" i="3"/>
  <c r="E96" i="3"/>
  <c r="F96" i="3"/>
  <c r="G96" i="3"/>
  <c r="H96" i="3"/>
  <c r="A97" i="3"/>
  <c r="C97" i="3"/>
  <c r="D97" i="3"/>
  <c r="E97" i="3"/>
  <c r="F97" i="3"/>
  <c r="G97" i="3"/>
  <c r="H97" i="3"/>
  <c r="A98" i="3"/>
  <c r="C98" i="3"/>
  <c r="D98" i="3"/>
  <c r="E98" i="3"/>
  <c r="F98" i="3"/>
  <c r="G98" i="3"/>
  <c r="H98" i="3"/>
  <c r="A99" i="3"/>
  <c r="C99" i="3"/>
  <c r="D99" i="3"/>
  <c r="E99" i="3"/>
  <c r="F99" i="3"/>
  <c r="G99" i="3"/>
  <c r="H99" i="3"/>
  <c r="A100" i="3"/>
  <c r="C100" i="3"/>
  <c r="D100" i="3"/>
  <c r="E100" i="3"/>
  <c r="F100" i="3"/>
  <c r="G100" i="3"/>
  <c r="H100" i="3"/>
  <c r="A101" i="3"/>
  <c r="B101" i="3"/>
  <c r="C101" i="3"/>
  <c r="D101" i="3"/>
  <c r="E101" i="3"/>
  <c r="F101" i="3"/>
  <c r="G101" i="3"/>
  <c r="H101" i="3"/>
  <c r="A102" i="3"/>
  <c r="C102" i="3"/>
  <c r="D102" i="3"/>
  <c r="E102" i="3"/>
  <c r="F102" i="3"/>
  <c r="G102" i="3"/>
  <c r="H102" i="3"/>
  <c r="A103" i="3"/>
  <c r="C103" i="3"/>
  <c r="D103" i="3"/>
  <c r="E103" i="3"/>
  <c r="F103" i="3"/>
  <c r="G103" i="3"/>
  <c r="H103" i="3"/>
  <c r="A104" i="3"/>
  <c r="B104" i="3"/>
  <c r="C104" i="3"/>
  <c r="D104" i="3"/>
  <c r="E104" i="3"/>
  <c r="F104" i="3"/>
  <c r="G104" i="3"/>
  <c r="H104" i="3"/>
  <c r="A105" i="3"/>
  <c r="B105" i="3"/>
  <c r="C105" i="3"/>
  <c r="D105" i="3"/>
  <c r="E105" i="3"/>
  <c r="F105" i="3"/>
  <c r="G105" i="3"/>
  <c r="H105" i="3"/>
  <c r="A106" i="3"/>
  <c r="C106" i="3"/>
  <c r="D106" i="3"/>
  <c r="E106" i="3"/>
  <c r="F106" i="3"/>
  <c r="G106" i="3"/>
  <c r="H106" i="3"/>
  <c r="A107" i="3"/>
  <c r="B107" i="3"/>
  <c r="C107" i="3"/>
  <c r="D107" i="3"/>
  <c r="E107" i="3"/>
  <c r="F107" i="3"/>
  <c r="G107" i="3"/>
  <c r="H107" i="3"/>
  <c r="A108" i="3"/>
  <c r="C108" i="3"/>
  <c r="D108" i="3"/>
  <c r="E108" i="3"/>
  <c r="F108" i="3"/>
  <c r="G108" i="3"/>
  <c r="H108" i="3"/>
  <c r="A109" i="3"/>
  <c r="B109" i="3"/>
  <c r="C109" i="3"/>
  <c r="D109" i="3"/>
  <c r="E109" i="3"/>
  <c r="F109" i="3"/>
  <c r="G109" i="3"/>
  <c r="H109" i="3"/>
  <c r="A110" i="3"/>
  <c r="C110" i="3"/>
  <c r="D110" i="3"/>
  <c r="E110" i="3"/>
  <c r="F110" i="3"/>
  <c r="G110" i="3"/>
  <c r="H110" i="3"/>
  <c r="A111" i="3"/>
  <c r="C111" i="3"/>
  <c r="D111" i="3"/>
  <c r="E111" i="3"/>
  <c r="F111" i="3"/>
  <c r="G111" i="3"/>
  <c r="H111" i="3"/>
  <c r="A112" i="3"/>
  <c r="B112" i="3"/>
  <c r="C112" i="3"/>
  <c r="D112" i="3"/>
  <c r="E112" i="3"/>
  <c r="F112" i="3"/>
  <c r="G112" i="3"/>
  <c r="H112" i="3"/>
  <c r="A113" i="3"/>
  <c r="B113" i="3"/>
  <c r="C113" i="3"/>
  <c r="D113" i="3"/>
  <c r="E113" i="3"/>
  <c r="F113" i="3"/>
  <c r="G113" i="3"/>
  <c r="H113" i="3"/>
  <c r="A114" i="3"/>
  <c r="B114" i="3"/>
  <c r="C114" i="3"/>
  <c r="D114" i="3"/>
  <c r="E114" i="3"/>
  <c r="F114" i="3"/>
  <c r="G114" i="3"/>
  <c r="H114" i="3"/>
  <c r="A115" i="3"/>
  <c r="C115" i="3"/>
  <c r="D115" i="3"/>
  <c r="E115" i="3"/>
  <c r="F115" i="3"/>
  <c r="G115" i="3"/>
  <c r="H115" i="3"/>
  <c r="A116" i="3"/>
  <c r="C116" i="3"/>
  <c r="D116" i="3"/>
  <c r="E116" i="3"/>
  <c r="F116" i="3"/>
  <c r="G116" i="3"/>
  <c r="H116" i="3"/>
  <c r="A117" i="3"/>
  <c r="C117" i="3"/>
  <c r="D117" i="3"/>
  <c r="E117" i="3"/>
  <c r="F117" i="3"/>
  <c r="G117" i="3"/>
  <c r="H117" i="3"/>
  <c r="A118" i="3"/>
  <c r="B118" i="3"/>
  <c r="C118" i="3"/>
  <c r="D118" i="3"/>
  <c r="E118" i="3"/>
  <c r="F118" i="3"/>
  <c r="G118" i="3"/>
  <c r="H118" i="3"/>
  <c r="A119" i="3"/>
  <c r="C119" i="3"/>
  <c r="D119" i="3"/>
  <c r="E119" i="3"/>
  <c r="F119" i="3"/>
  <c r="G119" i="3"/>
  <c r="H119" i="3"/>
  <c r="A120" i="3"/>
  <c r="C120" i="3"/>
  <c r="D120" i="3"/>
  <c r="E120" i="3"/>
  <c r="F120" i="3"/>
  <c r="G120" i="3"/>
  <c r="H120" i="3"/>
  <c r="A121" i="3"/>
  <c r="B121" i="3"/>
  <c r="C121" i="3"/>
  <c r="D121" i="3"/>
  <c r="E121" i="3"/>
  <c r="F121" i="3"/>
  <c r="G121" i="3"/>
  <c r="H121" i="3"/>
  <c r="A122" i="3"/>
  <c r="B122" i="3"/>
  <c r="C122" i="3"/>
  <c r="D122" i="3"/>
  <c r="E122" i="3"/>
  <c r="F122" i="3"/>
  <c r="G122" i="3"/>
  <c r="H122" i="3"/>
  <c r="A123" i="3"/>
  <c r="B123" i="3"/>
  <c r="C123" i="3"/>
  <c r="D123" i="3"/>
  <c r="E123" i="3"/>
  <c r="F123" i="3"/>
  <c r="G123" i="3"/>
  <c r="H123" i="3"/>
  <c r="A124" i="3"/>
  <c r="C124" i="3"/>
  <c r="D124" i="3"/>
  <c r="E124" i="3"/>
  <c r="F124" i="3"/>
  <c r="G124" i="3"/>
  <c r="H124" i="3"/>
  <c r="A125" i="3"/>
  <c r="B125" i="3"/>
  <c r="C125" i="3"/>
  <c r="D125" i="3"/>
  <c r="E125" i="3"/>
  <c r="F125" i="3"/>
  <c r="G125" i="3"/>
  <c r="H125" i="3"/>
  <c r="A126" i="3"/>
  <c r="B126" i="3"/>
  <c r="C126" i="3"/>
  <c r="D126" i="3"/>
  <c r="E126" i="3"/>
  <c r="F126" i="3"/>
  <c r="G126" i="3"/>
  <c r="H126" i="3"/>
  <c r="A127" i="3"/>
  <c r="C127" i="3"/>
  <c r="D127" i="3"/>
  <c r="E127" i="3"/>
  <c r="F127" i="3"/>
  <c r="G127" i="3"/>
  <c r="H127" i="3"/>
  <c r="A128" i="3"/>
  <c r="B128" i="3"/>
  <c r="C128" i="3"/>
  <c r="D128" i="3"/>
  <c r="E128" i="3"/>
  <c r="F128" i="3"/>
  <c r="G128" i="3"/>
  <c r="H128" i="3"/>
  <c r="A129" i="3"/>
  <c r="C129" i="3"/>
  <c r="D129" i="3"/>
  <c r="E129" i="3"/>
  <c r="F129" i="3"/>
  <c r="G129" i="3"/>
  <c r="H129" i="3"/>
  <c r="A130" i="3"/>
  <c r="B130" i="3"/>
  <c r="C130" i="3"/>
  <c r="D130" i="3"/>
  <c r="E130" i="3"/>
  <c r="F130" i="3"/>
  <c r="G130" i="3"/>
  <c r="H130" i="3"/>
  <c r="A131" i="3"/>
  <c r="C131" i="3"/>
  <c r="D131" i="3"/>
  <c r="E131" i="3"/>
  <c r="F131" i="3"/>
  <c r="G131" i="3"/>
  <c r="H131" i="3"/>
  <c r="A132" i="3"/>
  <c r="C132" i="3"/>
  <c r="D132" i="3"/>
  <c r="E132" i="3"/>
  <c r="F132" i="3"/>
  <c r="G132" i="3"/>
  <c r="H132" i="3"/>
  <c r="A133" i="3"/>
  <c r="B133" i="3"/>
  <c r="C133" i="3"/>
  <c r="D133" i="3"/>
  <c r="E133" i="3"/>
  <c r="F133" i="3"/>
  <c r="G133" i="3"/>
  <c r="H133" i="3"/>
  <c r="A134" i="3"/>
  <c r="B134" i="3"/>
  <c r="C134" i="3"/>
  <c r="D134" i="3"/>
  <c r="E134" i="3"/>
  <c r="F134" i="3"/>
  <c r="G134" i="3"/>
  <c r="H134" i="3"/>
  <c r="A135" i="3"/>
  <c r="C135" i="3"/>
  <c r="D135" i="3"/>
  <c r="E135" i="3"/>
  <c r="F135" i="3"/>
  <c r="G135" i="3"/>
  <c r="H135" i="3"/>
  <c r="A136" i="3"/>
  <c r="B136" i="3"/>
  <c r="C136" i="3"/>
  <c r="D136" i="3"/>
  <c r="E136" i="3"/>
  <c r="F136" i="3"/>
  <c r="G136" i="3"/>
  <c r="H136" i="3"/>
  <c r="A137" i="3"/>
  <c r="C137" i="3"/>
  <c r="D137" i="3"/>
  <c r="E137" i="3"/>
  <c r="F137" i="3"/>
  <c r="G137" i="3"/>
  <c r="H137" i="3"/>
  <c r="A138" i="3"/>
  <c r="C138" i="3"/>
  <c r="D138" i="3"/>
  <c r="E138" i="3"/>
  <c r="F138" i="3"/>
  <c r="G138" i="3"/>
  <c r="H138" i="3"/>
  <c r="A139" i="3"/>
  <c r="C139" i="3"/>
  <c r="D139" i="3"/>
  <c r="E139" i="3"/>
  <c r="F139" i="3"/>
  <c r="G139" i="3"/>
  <c r="H139" i="3"/>
  <c r="A140" i="3"/>
  <c r="C140" i="3"/>
  <c r="D140" i="3"/>
  <c r="E140" i="3"/>
  <c r="F140" i="3"/>
  <c r="G140" i="3"/>
  <c r="H140" i="3"/>
  <c r="A141" i="3"/>
  <c r="C141" i="3"/>
  <c r="D141" i="3"/>
  <c r="E141" i="3"/>
  <c r="F141" i="3"/>
  <c r="G141" i="3"/>
  <c r="H141" i="3"/>
  <c r="A142" i="3"/>
  <c r="B142" i="3"/>
  <c r="C142" i="3"/>
  <c r="D142" i="3"/>
  <c r="E142" i="3"/>
  <c r="F142" i="3"/>
  <c r="G142" i="3"/>
  <c r="H142" i="3"/>
  <c r="A143" i="3"/>
  <c r="B143" i="3"/>
  <c r="C143" i="3"/>
  <c r="D143" i="3"/>
  <c r="E143" i="3"/>
  <c r="F143" i="3"/>
  <c r="G143" i="3"/>
  <c r="H143" i="3"/>
  <c r="A144" i="3"/>
  <c r="C144" i="3"/>
  <c r="D144" i="3"/>
  <c r="E144" i="3"/>
  <c r="F144" i="3"/>
  <c r="G144" i="3"/>
  <c r="H144" i="3"/>
  <c r="A145" i="3"/>
  <c r="C145" i="3"/>
  <c r="D145" i="3"/>
  <c r="E145" i="3"/>
  <c r="F145" i="3"/>
  <c r="G145" i="3"/>
  <c r="H145" i="3"/>
  <c r="A146" i="3"/>
  <c r="C146" i="3"/>
  <c r="D146" i="3"/>
  <c r="E146" i="3"/>
  <c r="F146" i="3"/>
  <c r="G146" i="3"/>
  <c r="H146" i="3"/>
  <c r="A147" i="3"/>
  <c r="C147" i="3"/>
  <c r="D147" i="3"/>
  <c r="E147" i="3"/>
  <c r="F147" i="3"/>
  <c r="G147" i="3"/>
  <c r="H147" i="3"/>
  <c r="A148" i="3"/>
  <c r="C148" i="3"/>
  <c r="D148" i="3"/>
  <c r="E148" i="3"/>
  <c r="F148" i="3"/>
  <c r="G148" i="3"/>
  <c r="H148" i="3"/>
  <c r="A149" i="3"/>
  <c r="C149" i="3"/>
  <c r="D149" i="3"/>
  <c r="E149" i="3"/>
  <c r="F149" i="3"/>
  <c r="G149" i="3"/>
  <c r="H149" i="3"/>
  <c r="A150" i="3"/>
  <c r="C150" i="3"/>
  <c r="D150" i="3"/>
  <c r="E150" i="3"/>
  <c r="F150" i="3"/>
  <c r="G150" i="3"/>
  <c r="H150" i="3"/>
  <c r="A151" i="3"/>
  <c r="C151" i="3"/>
  <c r="D151" i="3"/>
  <c r="E151" i="3"/>
  <c r="F151" i="3"/>
  <c r="G151" i="3"/>
  <c r="H151" i="3"/>
  <c r="A152" i="3"/>
  <c r="C152" i="3"/>
  <c r="D152" i="3"/>
  <c r="E152" i="3"/>
  <c r="F152" i="3"/>
  <c r="G152" i="3"/>
  <c r="H152" i="3"/>
  <c r="C153" i="3"/>
  <c r="D153" i="3"/>
  <c r="E153" i="3"/>
  <c r="F153" i="3"/>
  <c r="G153" i="3"/>
  <c r="H153" i="3"/>
  <c r="A154" i="3"/>
  <c r="C154" i="3"/>
  <c r="D154" i="3"/>
  <c r="E154" i="3"/>
  <c r="F154" i="3"/>
  <c r="G154" i="3"/>
  <c r="H154" i="3"/>
  <c r="A155" i="3"/>
  <c r="E155" i="3"/>
  <c r="F155" i="3"/>
  <c r="G155" i="3"/>
  <c r="H155" i="3"/>
  <c r="A156" i="3"/>
  <c r="C156" i="3"/>
  <c r="D156" i="3"/>
  <c r="E156" i="3"/>
  <c r="F156" i="3"/>
  <c r="G156" i="3"/>
  <c r="H156" i="3"/>
  <c r="A157" i="3"/>
  <c r="C157" i="3"/>
  <c r="D157" i="3"/>
  <c r="E157" i="3"/>
  <c r="F157" i="3"/>
  <c r="G157" i="3"/>
  <c r="H157" i="3"/>
  <c r="A158" i="3"/>
  <c r="C158" i="3"/>
  <c r="D158" i="3"/>
  <c r="E158" i="3"/>
  <c r="F158" i="3"/>
  <c r="G158" i="3"/>
  <c r="H158" i="3"/>
  <c r="A159" i="3"/>
  <c r="C159" i="3"/>
  <c r="D159" i="3"/>
  <c r="E159" i="3"/>
  <c r="F159" i="3"/>
  <c r="G159" i="3"/>
  <c r="H159" i="3"/>
  <c r="A160" i="3"/>
  <c r="C160" i="3"/>
  <c r="D160" i="3"/>
  <c r="E160" i="3"/>
  <c r="F160" i="3"/>
  <c r="G160" i="3"/>
  <c r="H160" i="3"/>
  <c r="A161" i="3"/>
  <c r="C161" i="3"/>
  <c r="D161" i="3"/>
  <c r="E161" i="3"/>
  <c r="F161" i="3"/>
  <c r="G161" i="3"/>
  <c r="H161" i="3"/>
  <c r="N1" i="1"/>
  <c r="O1" i="1"/>
  <c r="I1" i="2"/>
  <c r="P1" i="1"/>
  <c r="Q1" i="1"/>
  <c r="R1" i="1"/>
  <c r="S1" i="1"/>
  <c r="N2" i="1"/>
  <c r="O2" i="1"/>
  <c r="I2" i="2" s="1"/>
  <c r="P2" i="1"/>
  <c r="Q2" i="1"/>
  <c r="R2" i="1"/>
  <c r="S2" i="1"/>
  <c r="N3" i="1"/>
  <c r="O3" i="1"/>
  <c r="P3" i="1"/>
  <c r="Q3" i="1"/>
  <c r="R3" i="1"/>
  <c r="S3" i="1"/>
  <c r="B4" i="1"/>
  <c r="B4" i="2" s="1"/>
  <c r="R4" i="1"/>
  <c r="N4" i="1"/>
  <c r="N5" i="1"/>
  <c r="O5" i="1"/>
  <c r="P5" i="1"/>
  <c r="Q5" i="1"/>
  <c r="R5" i="1"/>
  <c r="S5" i="1"/>
  <c r="N6" i="1"/>
  <c r="O6" i="1"/>
  <c r="I6" i="2" s="1"/>
  <c r="P6" i="1"/>
  <c r="Q6" i="1"/>
  <c r="R6" i="1"/>
  <c r="S6" i="1"/>
  <c r="B7" i="1"/>
  <c r="B7" i="5" s="1"/>
  <c r="N7" i="1"/>
  <c r="N8" i="1"/>
  <c r="O8" i="1"/>
  <c r="P8" i="1"/>
  <c r="Q8" i="1"/>
  <c r="R8" i="1"/>
  <c r="S8" i="1"/>
  <c r="N9" i="1"/>
  <c r="O9" i="1"/>
  <c r="I9" i="2" s="1"/>
  <c r="P9" i="1"/>
  <c r="Q9" i="1"/>
  <c r="R9" i="1"/>
  <c r="S9" i="1"/>
  <c r="N10" i="1"/>
  <c r="O10" i="1"/>
  <c r="I10" i="2"/>
  <c r="P10" i="1"/>
  <c r="Q10" i="1"/>
  <c r="R10" i="1"/>
  <c r="S10" i="1"/>
  <c r="B11" i="1"/>
  <c r="Q11" i="1" s="1"/>
  <c r="B11" i="3"/>
  <c r="N11" i="1"/>
  <c r="O11" i="1"/>
  <c r="I11" i="2" s="1"/>
  <c r="N12" i="1"/>
  <c r="O12" i="1"/>
  <c r="P12" i="1"/>
  <c r="Q12" i="1"/>
  <c r="R12" i="1"/>
  <c r="S12" i="1"/>
  <c r="N13" i="1"/>
  <c r="O13" i="1"/>
  <c r="I13" i="2" s="1"/>
  <c r="P13" i="1"/>
  <c r="Q13" i="1"/>
  <c r="R13" i="1"/>
  <c r="S13" i="1"/>
  <c r="N14" i="1"/>
  <c r="O14" i="1"/>
  <c r="I14" i="2" s="1"/>
  <c r="P14" i="1"/>
  <c r="Q14" i="1"/>
  <c r="R14" i="1"/>
  <c r="S14" i="1"/>
  <c r="B15" i="1"/>
  <c r="B15" i="6" s="1"/>
  <c r="P15" i="1"/>
  <c r="N15" i="1"/>
  <c r="O15" i="1"/>
  <c r="I15" i="2"/>
  <c r="Q15" i="1"/>
  <c r="R15" i="1"/>
  <c r="B16" i="1"/>
  <c r="C24" i="4" s="1"/>
  <c r="B16" i="3"/>
  <c r="N16" i="1"/>
  <c r="O16" i="1"/>
  <c r="I16" i="2" s="1"/>
  <c r="P16" i="1"/>
  <c r="N17" i="1"/>
  <c r="O17" i="1"/>
  <c r="P17" i="1"/>
  <c r="Q17" i="1"/>
  <c r="R17" i="1"/>
  <c r="S17" i="1"/>
  <c r="N18" i="1"/>
  <c r="O18" i="1"/>
  <c r="P18" i="1"/>
  <c r="Q18" i="1"/>
  <c r="R18" i="1"/>
  <c r="S18" i="1"/>
  <c r="N19" i="1"/>
  <c r="O19" i="1"/>
  <c r="P19" i="1"/>
  <c r="Q19" i="1"/>
  <c r="R19" i="1"/>
  <c r="S19" i="1"/>
  <c r="N20" i="1"/>
  <c r="O20" i="1"/>
  <c r="I20" i="2" s="1"/>
  <c r="P20" i="1"/>
  <c r="Q20" i="1"/>
  <c r="R20" i="1"/>
  <c r="S20" i="1"/>
  <c r="N21" i="1"/>
  <c r="O21" i="1"/>
  <c r="I21" i="2" s="1"/>
  <c r="P21" i="1"/>
  <c r="Q21" i="1"/>
  <c r="R21" i="1"/>
  <c r="S21" i="1"/>
  <c r="N22" i="1"/>
  <c r="O22" i="1"/>
  <c r="P22" i="1"/>
  <c r="Q22" i="1"/>
  <c r="R22" i="1"/>
  <c r="S22" i="1"/>
  <c r="N23" i="1"/>
  <c r="O23" i="1"/>
  <c r="P23" i="1"/>
  <c r="Q23" i="1"/>
  <c r="R23" i="1"/>
  <c r="S23" i="1"/>
  <c r="N24" i="1"/>
  <c r="O24" i="1"/>
  <c r="I24" i="2" s="1"/>
  <c r="P24" i="1"/>
  <c r="Q24" i="1"/>
  <c r="R24" i="1"/>
  <c r="S24" i="1"/>
  <c r="N25" i="1"/>
  <c r="O25" i="1"/>
  <c r="P25" i="1"/>
  <c r="Q25" i="1"/>
  <c r="R25" i="1"/>
  <c r="S25" i="1"/>
  <c r="N26" i="1"/>
  <c r="O26" i="1"/>
  <c r="I26" i="2" s="1"/>
  <c r="P26" i="1"/>
  <c r="Q26" i="1"/>
  <c r="R26" i="1"/>
  <c r="S26" i="1"/>
  <c r="N27" i="1"/>
  <c r="O27" i="1"/>
  <c r="P27" i="1"/>
  <c r="Q27" i="1"/>
  <c r="R27" i="1"/>
  <c r="S27" i="1"/>
  <c r="B28" i="1"/>
  <c r="B28" i="2" s="1"/>
  <c r="B28" i="3"/>
  <c r="N28" i="1"/>
  <c r="O28" i="1"/>
  <c r="I28" i="2"/>
  <c r="P28" i="1"/>
  <c r="Q28" i="1"/>
  <c r="R28" i="1"/>
  <c r="B29" i="1"/>
  <c r="B29" i="3"/>
  <c r="N29" i="1"/>
  <c r="B30" i="1"/>
  <c r="B30" i="2" s="1"/>
  <c r="B30" i="3"/>
  <c r="N30" i="1"/>
  <c r="O30" i="1"/>
  <c r="P30" i="1"/>
  <c r="Q30" i="1"/>
  <c r="R30" i="1"/>
  <c r="S30" i="1"/>
  <c r="B31" i="1"/>
  <c r="B31" i="5" s="1"/>
  <c r="S31" i="1"/>
  <c r="N31" i="1"/>
  <c r="N32" i="1"/>
  <c r="O32" i="1"/>
  <c r="P32" i="1"/>
  <c r="Q32" i="1"/>
  <c r="R32" i="1"/>
  <c r="S32" i="1"/>
  <c r="N33" i="1"/>
  <c r="O33" i="1"/>
  <c r="I33" i="2" s="1"/>
  <c r="P33" i="1"/>
  <c r="Q33" i="1"/>
  <c r="R33" i="1"/>
  <c r="S33" i="1"/>
  <c r="N34" i="1"/>
  <c r="O34" i="1"/>
  <c r="P34" i="1"/>
  <c r="Q34" i="1"/>
  <c r="R34" i="1"/>
  <c r="S34" i="1"/>
  <c r="N35" i="1"/>
  <c r="O35" i="1"/>
  <c r="P35" i="1"/>
  <c r="Q35" i="1"/>
  <c r="R35" i="1"/>
  <c r="S35" i="1"/>
  <c r="N36" i="1"/>
  <c r="O36" i="1"/>
  <c r="P36" i="1"/>
  <c r="Q36" i="1"/>
  <c r="R36" i="1"/>
  <c r="S36" i="1"/>
  <c r="N37" i="1"/>
  <c r="O37" i="1"/>
  <c r="P37" i="1"/>
  <c r="Q37" i="1"/>
  <c r="R37" i="1"/>
  <c r="S37" i="1"/>
  <c r="N38" i="1"/>
  <c r="O38" i="1"/>
  <c r="I38" i="2" s="1"/>
  <c r="P38" i="1"/>
  <c r="Q38" i="1"/>
  <c r="R38" i="1"/>
  <c r="S38" i="1"/>
  <c r="N39" i="1"/>
  <c r="O39" i="1"/>
  <c r="I39" i="2" s="1"/>
  <c r="P39" i="1"/>
  <c r="Q39" i="1"/>
  <c r="R39" i="1"/>
  <c r="S39" i="1"/>
  <c r="N40" i="1"/>
  <c r="O40" i="1"/>
  <c r="P40" i="1"/>
  <c r="Q40" i="1"/>
  <c r="R40" i="1"/>
  <c r="S40" i="1"/>
  <c r="N41" i="1"/>
  <c r="O41" i="1"/>
  <c r="I41" i="2" s="1"/>
  <c r="P41" i="1"/>
  <c r="Q41" i="1"/>
  <c r="R41" i="1"/>
  <c r="S41" i="1"/>
  <c r="N42" i="1"/>
  <c r="O42" i="1"/>
  <c r="I42" i="2" s="1"/>
  <c r="P42" i="1"/>
  <c r="Q42" i="1"/>
  <c r="R42" i="1"/>
  <c r="S42" i="1"/>
  <c r="N43" i="1"/>
  <c r="O43" i="1"/>
  <c r="P43" i="1"/>
  <c r="Q43" i="1"/>
  <c r="R43" i="1"/>
  <c r="S43" i="1"/>
  <c r="N44" i="1"/>
  <c r="O44" i="1"/>
  <c r="P44" i="1"/>
  <c r="Q44" i="1"/>
  <c r="R44" i="1"/>
  <c r="S44" i="1"/>
  <c r="N45" i="1"/>
  <c r="O45" i="1"/>
  <c r="P45" i="1"/>
  <c r="Q45" i="1"/>
  <c r="R45" i="1"/>
  <c r="S45" i="1"/>
  <c r="N46" i="1"/>
  <c r="O46" i="1"/>
  <c r="P46" i="1"/>
  <c r="Q46" i="1"/>
  <c r="R46" i="1"/>
  <c r="S46" i="1"/>
  <c r="N47" i="1"/>
  <c r="O47" i="1"/>
  <c r="I47" i="2" s="1"/>
  <c r="P47" i="1"/>
  <c r="Q47" i="1"/>
  <c r="R47" i="1"/>
  <c r="S47" i="1"/>
  <c r="N48" i="1"/>
  <c r="O48" i="1"/>
  <c r="P48" i="1"/>
  <c r="Q48" i="1"/>
  <c r="R48" i="1"/>
  <c r="S48" i="1"/>
  <c r="N49" i="1"/>
  <c r="O49" i="1"/>
  <c r="I49" i="2" s="1"/>
  <c r="P49" i="1"/>
  <c r="Q49" i="1"/>
  <c r="R49" i="1"/>
  <c r="S49" i="1"/>
  <c r="N50" i="1"/>
  <c r="O50" i="1"/>
  <c r="I50" i="2" s="1"/>
  <c r="P50" i="1"/>
  <c r="Q50" i="1"/>
  <c r="R50" i="1"/>
  <c r="S50" i="1"/>
  <c r="N51" i="1"/>
  <c r="O51" i="1"/>
  <c r="P51" i="1"/>
  <c r="Q51" i="1"/>
  <c r="R51" i="1"/>
  <c r="S51" i="1"/>
  <c r="N52" i="1"/>
  <c r="O52" i="1"/>
  <c r="P52" i="1"/>
  <c r="Q52" i="1"/>
  <c r="R52" i="1"/>
  <c r="S52" i="1"/>
  <c r="N53" i="1"/>
  <c r="O53" i="1"/>
  <c r="P53" i="1"/>
  <c r="Q53" i="1"/>
  <c r="R53" i="1"/>
  <c r="S53" i="1"/>
  <c r="N54" i="1"/>
  <c r="O54" i="1"/>
  <c r="I54" i="2" s="1"/>
  <c r="P54" i="1"/>
  <c r="Q54" i="1"/>
  <c r="R54" i="1"/>
  <c r="S54" i="1"/>
  <c r="N55" i="1"/>
  <c r="O55" i="1"/>
  <c r="P55" i="1"/>
  <c r="Q55" i="1"/>
  <c r="R55" i="1"/>
  <c r="S55" i="1"/>
  <c r="B56" i="1"/>
  <c r="B56" i="3" s="1"/>
  <c r="Q56" i="1"/>
  <c r="N56" i="1"/>
  <c r="P56" i="1"/>
  <c r="R56" i="1"/>
  <c r="S56" i="1"/>
  <c r="N57" i="1"/>
  <c r="O57" i="1"/>
  <c r="P57" i="1"/>
  <c r="Q57" i="1"/>
  <c r="R57" i="1"/>
  <c r="S57" i="1"/>
  <c r="N58" i="1"/>
  <c r="O58" i="1"/>
  <c r="I58" i="2"/>
  <c r="P58" i="1"/>
  <c r="Q58" i="1"/>
  <c r="R58" i="1"/>
  <c r="S58" i="1"/>
  <c r="N59" i="1"/>
  <c r="O59" i="1"/>
  <c r="P59" i="1"/>
  <c r="Q59" i="1"/>
  <c r="R59" i="1"/>
  <c r="S59" i="1"/>
  <c r="N60" i="1"/>
  <c r="O60" i="1"/>
  <c r="I60" i="2" s="1"/>
  <c r="P60" i="1"/>
  <c r="Q60" i="1"/>
  <c r="R60" i="1"/>
  <c r="S60" i="1"/>
  <c r="N61" i="1"/>
  <c r="O61" i="1"/>
  <c r="P61" i="1"/>
  <c r="Q61" i="1"/>
  <c r="R61" i="1"/>
  <c r="S61" i="1"/>
  <c r="N62" i="1"/>
  <c r="O62" i="1"/>
  <c r="I62" i="2"/>
  <c r="P62" i="1"/>
  <c r="Q62" i="1"/>
  <c r="R62" i="1"/>
  <c r="S62" i="1"/>
  <c r="N63" i="1"/>
  <c r="O63" i="1"/>
  <c r="I63" i="2" s="1"/>
  <c r="P63" i="1"/>
  <c r="Q63" i="1"/>
  <c r="R63" i="1"/>
  <c r="S63" i="1"/>
  <c r="N64" i="1"/>
  <c r="O64" i="1"/>
  <c r="P64" i="1"/>
  <c r="Q64" i="1"/>
  <c r="R64" i="1"/>
  <c r="S64" i="1"/>
  <c r="N65" i="1"/>
  <c r="O65" i="1"/>
  <c r="I65" i="2" s="1"/>
  <c r="P65" i="1"/>
  <c r="Q65" i="1"/>
  <c r="R65" i="1"/>
  <c r="S65" i="1"/>
  <c r="N66" i="1"/>
  <c r="O66" i="1"/>
  <c r="I66" i="2"/>
  <c r="P66" i="1"/>
  <c r="Q66" i="1"/>
  <c r="R66" i="1"/>
  <c r="S66" i="1"/>
  <c r="N67" i="1"/>
  <c r="O67" i="1"/>
  <c r="I67" i="2" s="1"/>
  <c r="P67" i="1"/>
  <c r="Q67" i="1"/>
  <c r="R67" i="1"/>
  <c r="S67" i="1"/>
  <c r="N68" i="1"/>
  <c r="O68" i="1"/>
  <c r="P68" i="1"/>
  <c r="Q68" i="1"/>
  <c r="R68" i="1"/>
  <c r="S68" i="1"/>
  <c r="N69" i="1"/>
  <c r="O69" i="1"/>
  <c r="P69" i="1"/>
  <c r="Q69" i="1"/>
  <c r="R69" i="1"/>
  <c r="S69" i="1"/>
  <c r="I70" i="2"/>
  <c r="N71" i="1"/>
  <c r="O71" i="1"/>
  <c r="I71" i="2" s="1"/>
  <c r="P71" i="1"/>
  <c r="Q71" i="1"/>
  <c r="R71" i="1"/>
  <c r="S71" i="1"/>
  <c r="N72" i="1"/>
  <c r="O72" i="1"/>
  <c r="P72" i="1"/>
  <c r="Q72" i="1"/>
  <c r="R72" i="1"/>
  <c r="S72" i="1"/>
  <c r="N73" i="1"/>
  <c r="O73" i="1"/>
  <c r="P73" i="1"/>
  <c r="Q73" i="1"/>
  <c r="R73" i="1"/>
  <c r="S73" i="1"/>
  <c r="N74" i="1"/>
  <c r="O74" i="1"/>
  <c r="I74" i="2"/>
  <c r="P74" i="1"/>
  <c r="Q74" i="1"/>
  <c r="R74" i="1"/>
  <c r="S74" i="1"/>
  <c r="N75" i="1"/>
  <c r="O75" i="1"/>
  <c r="P75" i="1"/>
  <c r="Q75" i="1"/>
  <c r="R75" i="1"/>
  <c r="S75" i="1"/>
  <c r="N76" i="1"/>
  <c r="O76" i="1"/>
  <c r="I76" i="2" s="1"/>
  <c r="P76" i="1"/>
  <c r="Q76" i="1"/>
  <c r="R76" i="1"/>
  <c r="S76" i="1"/>
  <c r="N77" i="1"/>
  <c r="O77" i="1"/>
  <c r="P77" i="1"/>
  <c r="Q77" i="1"/>
  <c r="R77" i="1"/>
  <c r="S77" i="1"/>
  <c r="N78" i="1"/>
  <c r="O78" i="1"/>
  <c r="I78" i="2"/>
  <c r="P78" i="1"/>
  <c r="Q78" i="1"/>
  <c r="R78" i="1"/>
  <c r="S78" i="1"/>
  <c r="N80" i="1"/>
  <c r="O80" i="1"/>
  <c r="I80" i="2" s="1"/>
  <c r="P80" i="1"/>
  <c r="Q80" i="1"/>
  <c r="R80" i="1"/>
  <c r="S80" i="1"/>
  <c r="N81" i="1"/>
  <c r="O81" i="1"/>
  <c r="P81" i="1"/>
  <c r="Q81" i="1"/>
  <c r="R81" i="1"/>
  <c r="S81" i="1"/>
  <c r="N82" i="1"/>
  <c r="O82" i="1"/>
  <c r="I82" i="2" s="1"/>
  <c r="P82" i="1"/>
  <c r="Q82" i="1"/>
  <c r="R82" i="1"/>
  <c r="S82" i="1"/>
  <c r="N83" i="1"/>
  <c r="O83" i="1"/>
  <c r="P83" i="1"/>
  <c r="Q83" i="1"/>
  <c r="R83" i="1"/>
  <c r="S83" i="1"/>
  <c r="N84" i="1"/>
  <c r="O84" i="1"/>
  <c r="P84" i="1"/>
  <c r="Q84" i="1"/>
  <c r="R84" i="1"/>
  <c r="S84" i="1"/>
  <c r="N85" i="1"/>
  <c r="O85" i="1"/>
  <c r="I85" i="2" s="1"/>
  <c r="P85" i="1"/>
  <c r="Q85" i="1"/>
  <c r="R85" i="1"/>
  <c r="S85" i="1"/>
  <c r="N86" i="1"/>
  <c r="O86" i="1"/>
  <c r="I86" i="2"/>
  <c r="P86" i="1"/>
  <c r="Q86" i="1"/>
  <c r="R86" i="1"/>
  <c r="S86" i="1"/>
  <c r="N87" i="1"/>
  <c r="O87" i="1"/>
  <c r="I87" i="2" s="1"/>
  <c r="P87" i="1"/>
  <c r="Q87" i="1"/>
  <c r="R87" i="1"/>
  <c r="S87" i="1"/>
  <c r="N88" i="1"/>
  <c r="O88" i="1"/>
  <c r="P88" i="1"/>
  <c r="Q88" i="1"/>
  <c r="R88" i="1"/>
  <c r="S88" i="1"/>
  <c r="N90" i="1"/>
  <c r="O90" i="1"/>
  <c r="I90" i="2"/>
  <c r="P90" i="1"/>
  <c r="Q90" i="1"/>
  <c r="R90" i="1"/>
  <c r="S90" i="1"/>
  <c r="N91" i="1"/>
  <c r="O91" i="1"/>
  <c r="I91" i="2" s="1"/>
  <c r="P91" i="1"/>
  <c r="Q91" i="1"/>
  <c r="R91" i="1"/>
  <c r="S91" i="1"/>
  <c r="N92" i="1"/>
  <c r="O92" i="1"/>
  <c r="P92" i="1"/>
  <c r="Q92" i="1"/>
  <c r="R92" i="1"/>
  <c r="S92" i="1"/>
  <c r="N93" i="1"/>
  <c r="O93" i="1"/>
  <c r="I93" i="2" s="1"/>
  <c r="P93" i="1"/>
  <c r="Q93" i="1"/>
  <c r="R93" i="1"/>
  <c r="S93" i="1"/>
  <c r="N94" i="1"/>
  <c r="O94" i="1"/>
  <c r="I94" i="2"/>
  <c r="P94" i="1"/>
  <c r="Q94" i="1"/>
  <c r="R94" i="1"/>
  <c r="S94" i="1"/>
  <c r="N95" i="1"/>
  <c r="O95" i="1"/>
  <c r="P95" i="1"/>
  <c r="Q95" i="1"/>
  <c r="R95" i="1"/>
  <c r="S95" i="1"/>
  <c r="B96" i="1"/>
  <c r="O96" i="1" s="1"/>
  <c r="I96" i="2" s="1"/>
  <c r="S96" i="1"/>
  <c r="N96" i="1"/>
  <c r="R96" i="1"/>
  <c r="N97" i="1"/>
  <c r="O97" i="1"/>
  <c r="I97" i="2" s="1"/>
  <c r="P97" i="1"/>
  <c r="Q97" i="1"/>
  <c r="R97" i="1"/>
  <c r="S97" i="1"/>
  <c r="N98" i="1"/>
  <c r="O98" i="1"/>
  <c r="I98" i="2" s="1"/>
  <c r="P98" i="1"/>
  <c r="Q98" i="1"/>
  <c r="R98" i="1"/>
  <c r="S98" i="1"/>
  <c r="N99" i="1"/>
  <c r="O99" i="1"/>
  <c r="P99" i="1"/>
  <c r="Q99" i="1"/>
  <c r="R99" i="1"/>
  <c r="S99" i="1"/>
  <c r="N100" i="1"/>
  <c r="O100" i="1"/>
  <c r="P100" i="1"/>
  <c r="Q100" i="1"/>
  <c r="R100" i="1"/>
  <c r="S100" i="1"/>
  <c r="N101" i="1"/>
  <c r="O101" i="1"/>
  <c r="I101" i="2" s="1"/>
  <c r="P101" i="1"/>
  <c r="Q101" i="1"/>
  <c r="R101" i="1"/>
  <c r="S101" i="1"/>
  <c r="N102" i="1"/>
  <c r="O102" i="1"/>
  <c r="I102" i="2" s="1"/>
  <c r="P102" i="1"/>
  <c r="Q102" i="1"/>
  <c r="R102" i="1"/>
  <c r="S102" i="1"/>
  <c r="N103" i="1"/>
  <c r="O103" i="1"/>
  <c r="P103" i="1"/>
  <c r="Q103" i="1"/>
  <c r="R103" i="1"/>
  <c r="S103" i="1"/>
  <c r="N104" i="1"/>
  <c r="O104" i="1"/>
  <c r="P104" i="1"/>
  <c r="Q104" i="1"/>
  <c r="R104" i="1"/>
  <c r="S104" i="1"/>
  <c r="N105" i="1"/>
  <c r="O105" i="1"/>
  <c r="I105" i="2" s="1"/>
  <c r="P105" i="1"/>
  <c r="Q105" i="1"/>
  <c r="R105" i="1"/>
  <c r="S105" i="1"/>
  <c r="N106" i="1"/>
  <c r="O106" i="1"/>
  <c r="P106" i="1"/>
  <c r="Q106" i="1"/>
  <c r="R106" i="1"/>
  <c r="S106" i="1"/>
  <c r="N107" i="1"/>
  <c r="O107" i="1"/>
  <c r="I107" i="2" s="1"/>
  <c r="P107" i="1"/>
  <c r="Q107" i="1"/>
  <c r="R107" i="1"/>
  <c r="S107" i="1"/>
  <c r="N108" i="1"/>
  <c r="O108" i="1"/>
  <c r="P108" i="1"/>
  <c r="Q108" i="1"/>
  <c r="R108" i="1"/>
  <c r="S108" i="1"/>
  <c r="N109" i="1"/>
  <c r="O109" i="1"/>
  <c r="I109" i="2" s="1"/>
  <c r="P109" i="1"/>
  <c r="Q109" i="1"/>
  <c r="R109" i="1"/>
  <c r="S109" i="1"/>
  <c r="N110" i="1"/>
  <c r="O110" i="1"/>
  <c r="I110" i="2" s="1"/>
  <c r="P110" i="1"/>
  <c r="Q110" i="1"/>
  <c r="R110" i="1"/>
  <c r="S110" i="1"/>
  <c r="N111" i="1"/>
  <c r="O111" i="1"/>
  <c r="P111" i="1"/>
  <c r="Q111" i="1"/>
  <c r="R111" i="1"/>
  <c r="S111" i="1"/>
  <c r="N112" i="1"/>
  <c r="O112" i="1"/>
  <c r="I112" i="2" s="1"/>
  <c r="P112" i="1"/>
  <c r="Q112" i="1"/>
  <c r="R112" i="1"/>
  <c r="S112" i="1"/>
  <c r="N115" i="1"/>
  <c r="O115" i="1"/>
  <c r="P115" i="1"/>
  <c r="Q115" i="1"/>
  <c r="R115" i="1"/>
  <c r="S115" i="1"/>
  <c r="N116" i="1"/>
  <c r="O116" i="1"/>
  <c r="I116" i="2" s="1"/>
  <c r="P116" i="1"/>
  <c r="Q116" i="1"/>
  <c r="R116" i="1"/>
  <c r="S116" i="1"/>
  <c r="N117" i="1"/>
  <c r="O117" i="1"/>
  <c r="I117" i="2" s="1"/>
  <c r="P117" i="1"/>
  <c r="Q117" i="1"/>
  <c r="R117" i="1"/>
  <c r="S117" i="1"/>
  <c r="N118" i="1"/>
  <c r="O118" i="1"/>
  <c r="P118" i="1"/>
  <c r="Q118" i="1"/>
  <c r="R118" i="1"/>
  <c r="S118" i="1"/>
  <c r="N120" i="1"/>
  <c r="O120" i="1"/>
  <c r="I120" i="2" s="1"/>
  <c r="P120" i="1"/>
  <c r="Q120" i="1"/>
  <c r="R120" i="1"/>
  <c r="S120" i="1"/>
  <c r="N121" i="1"/>
  <c r="O121" i="1"/>
  <c r="I121" i="2" s="1"/>
  <c r="P121" i="1"/>
  <c r="Q121" i="1"/>
  <c r="R121" i="1"/>
  <c r="S121" i="1"/>
  <c r="N122" i="1"/>
  <c r="O122" i="1"/>
  <c r="P122" i="1"/>
  <c r="Q122" i="1"/>
  <c r="R122" i="1"/>
  <c r="S122" i="1"/>
  <c r="N123" i="1"/>
  <c r="O123" i="1"/>
  <c r="I123" i="2" s="1"/>
  <c r="P123" i="1"/>
  <c r="Q123" i="1"/>
  <c r="R123" i="1"/>
  <c r="S123" i="1"/>
  <c r="N124" i="1"/>
  <c r="O124" i="1"/>
  <c r="P124" i="1"/>
  <c r="Q124" i="1"/>
  <c r="R124" i="1"/>
  <c r="S124" i="1"/>
  <c r="N125" i="1"/>
  <c r="O125" i="1"/>
  <c r="I125" i="2" s="1"/>
  <c r="P125" i="1"/>
  <c r="Q125" i="1"/>
  <c r="R125" i="1"/>
  <c r="S125" i="1"/>
  <c r="N126" i="1"/>
  <c r="O126" i="1"/>
  <c r="P126" i="1"/>
  <c r="Q126" i="1"/>
  <c r="R126" i="1"/>
  <c r="S126" i="1"/>
  <c r="N127" i="1"/>
  <c r="O127" i="1"/>
  <c r="P127" i="1"/>
  <c r="Q127" i="1"/>
  <c r="R127" i="1"/>
  <c r="S127" i="1"/>
  <c r="N128" i="1"/>
  <c r="O128" i="1"/>
  <c r="I128" i="2" s="1"/>
  <c r="P128" i="1"/>
  <c r="Q128" i="1"/>
  <c r="R128" i="1"/>
  <c r="S128" i="1"/>
  <c r="N129" i="1"/>
  <c r="O129" i="1"/>
  <c r="P129" i="1"/>
  <c r="Q129" i="1"/>
  <c r="R129" i="1"/>
  <c r="S129" i="1"/>
  <c r="N130" i="1"/>
  <c r="O130" i="1"/>
  <c r="I130" i="2" s="1"/>
  <c r="P130" i="1"/>
  <c r="Q130" i="1"/>
  <c r="R130" i="1"/>
  <c r="S130" i="1"/>
  <c r="N131" i="1"/>
  <c r="O131" i="1"/>
  <c r="I131" i="2" s="1"/>
  <c r="P131" i="1"/>
  <c r="Q131" i="1"/>
  <c r="R131" i="1"/>
  <c r="S131" i="1"/>
  <c r="N132" i="1"/>
  <c r="O132" i="1"/>
  <c r="I132" i="2" s="1"/>
  <c r="P132" i="1"/>
  <c r="Q132" i="1"/>
  <c r="R132" i="1"/>
  <c r="S132" i="1"/>
  <c r="N133" i="1"/>
  <c r="O133" i="1"/>
  <c r="P133" i="1"/>
  <c r="Q133" i="1"/>
  <c r="R133" i="1"/>
  <c r="S133" i="1"/>
  <c r="N134" i="1"/>
  <c r="O134" i="1"/>
  <c r="I134" i="2" s="1"/>
  <c r="P134" i="1"/>
  <c r="Q134" i="1"/>
  <c r="R134" i="1"/>
  <c r="S134" i="1"/>
  <c r="N136" i="1"/>
  <c r="O136" i="1"/>
  <c r="P136" i="1"/>
  <c r="Q136" i="1"/>
  <c r="R136" i="1"/>
  <c r="S136" i="1"/>
  <c r="N137" i="1"/>
  <c r="O137" i="1"/>
  <c r="I137" i="2" s="1"/>
  <c r="P137" i="1"/>
  <c r="Q137" i="1"/>
  <c r="R137" i="1"/>
  <c r="S137" i="1"/>
  <c r="N139" i="1"/>
  <c r="O139" i="1"/>
  <c r="I139" i="2" s="1"/>
  <c r="P139" i="1"/>
  <c r="Q139" i="1"/>
  <c r="R139" i="1"/>
  <c r="S139" i="1"/>
  <c r="N140" i="1"/>
  <c r="O140" i="1"/>
  <c r="P140" i="1"/>
  <c r="Q140" i="1"/>
  <c r="R140" i="1"/>
  <c r="S140" i="1"/>
  <c r="B141" i="1"/>
  <c r="B141" i="6" s="1"/>
  <c r="Q141" i="1"/>
  <c r="N141" i="1"/>
  <c r="N142" i="1"/>
  <c r="O142" i="1"/>
  <c r="P142" i="1"/>
  <c r="Q142" i="1"/>
  <c r="R142" i="1"/>
  <c r="S142" i="1"/>
  <c r="I143" i="2"/>
  <c r="N144" i="1"/>
  <c r="O144" i="1"/>
  <c r="P144" i="1"/>
  <c r="Q144" i="1"/>
  <c r="R144" i="1"/>
  <c r="S144" i="1"/>
  <c r="N145" i="1"/>
  <c r="O145" i="1"/>
  <c r="I145" i="2" s="1"/>
  <c r="P145" i="1"/>
  <c r="Q145" i="1"/>
  <c r="R145" i="1"/>
  <c r="S145" i="1"/>
  <c r="N146" i="1"/>
  <c r="O146" i="1"/>
  <c r="P146" i="1"/>
  <c r="Q146" i="1"/>
  <c r="R146" i="1"/>
  <c r="S146" i="1"/>
  <c r="N147" i="1"/>
  <c r="O147" i="1"/>
  <c r="I147" i="2" s="1"/>
  <c r="P147" i="1"/>
  <c r="Q147" i="1"/>
  <c r="R147" i="1"/>
  <c r="S147" i="1"/>
  <c r="N149" i="1"/>
  <c r="O149" i="1"/>
  <c r="P149" i="1"/>
  <c r="Q149" i="1"/>
  <c r="R149" i="1"/>
  <c r="S149" i="1"/>
  <c r="N150" i="1"/>
  <c r="O150" i="1"/>
  <c r="I150" i="2" s="1"/>
  <c r="P150" i="1"/>
  <c r="Q150" i="1"/>
  <c r="R150" i="1"/>
  <c r="S150" i="1"/>
  <c r="N151" i="1"/>
  <c r="O151" i="1"/>
  <c r="I151" i="2"/>
  <c r="P151" i="1"/>
  <c r="Q151" i="1"/>
  <c r="R151" i="1"/>
  <c r="S151" i="1"/>
  <c r="N152" i="1"/>
  <c r="O152" i="1"/>
  <c r="P152" i="1"/>
  <c r="Q152" i="1"/>
  <c r="R152" i="1"/>
  <c r="S152" i="1"/>
  <c r="N153" i="1"/>
  <c r="O153" i="1"/>
  <c r="P153" i="1"/>
  <c r="Q153" i="1"/>
  <c r="R153" i="1"/>
  <c r="S153" i="1"/>
  <c r="N155" i="1"/>
  <c r="C156" i="1"/>
  <c r="C155" i="3"/>
  <c r="D156" i="1"/>
  <c r="D155" i="3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A1" i="2"/>
  <c r="B1" i="2"/>
  <c r="C1" i="2"/>
  <c r="D1" i="2"/>
  <c r="E1" i="2"/>
  <c r="F1" i="2"/>
  <c r="G1" i="2"/>
  <c r="H1" i="2"/>
  <c r="A2" i="2"/>
  <c r="B2" i="2"/>
  <c r="C2" i="2"/>
  <c r="D2" i="2"/>
  <c r="E2" i="2"/>
  <c r="F2" i="2"/>
  <c r="G2" i="2"/>
  <c r="H2" i="2"/>
  <c r="A3" i="2"/>
  <c r="B3" i="2"/>
  <c r="C3" i="2"/>
  <c r="D3" i="2"/>
  <c r="E3" i="2"/>
  <c r="F3" i="2"/>
  <c r="G3" i="2"/>
  <c r="H3" i="2"/>
  <c r="I3" i="2"/>
  <c r="A4" i="2"/>
  <c r="C4" i="2"/>
  <c r="D4" i="2"/>
  <c r="E4" i="2"/>
  <c r="F4" i="2"/>
  <c r="G4" i="2"/>
  <c r="H4" i="2"/>
  <c r="A5" i="2"/>
  <c r="B5" i="2"/>
  <c r="C5" i="2"/>
  <c r="D5" i="2"/>
  <c r="E5" i="2"/>
  <c r="F5" i="2"/>
  <c r="G5" i="2"/>
  <c r="H5" i="2"/>
  <c r="I5" i="2"/>
  <c r="A6" i="2"/>
  <c r="B6" i="2"/>
  <c r="C6" i="2"/>
  <c r="D6" i="2"/>
  <c r="E6" i="2"/>
  <c r="F6" i="2"/>
  <c r="G6" i="2"/>
  <c r="H6" i="2"/>
  <c r="A7" i="2"/>
  <c r="B7" i="2"/>
  <c r="C7" i="2"/>
  <c r="C181" i="2" s="1"/>
  <c r="D7" i="2"/>
  <c r="E7" i="2"/>
  <c r="F7" i="2"/>
  <c r="G7" i="2"/>
  <c r="H7" i="2"/>
  <c r="A8" i="2"/>
  <c r="B8" i="2"/>
  <c r="C8" i="2"/>
  <c r="D8" i="2"/>
  <c r="E8" i="2"/>
  <c r="F8" i="2"/>
  <c r="G8" i="2"/>
  <c r="H8" i="2"/>
  <c r="I8" i="2"/>
  <c r="A9" i="2"/>
  <c r="B9" i="2"/>
  <c r="C9" i="2"/>
  <c r="D9" i="2"/>
  <c r="E9" i="2"/>
  <c r="F9" i="2"/>
  <c r="G9" i="2"/>
  <c r="H9" i="2"/>
  <c r="A10" i="2"/>
  <c r="B10" i="2"/>
  <c r="C10" i="2"/>
  <c r="D10" i="2"/>
  <c r="E10" i="2"/>
  <c r="F10" i="2"/>
  <c r="G10" i="2"/>
  <c r="H10" i="2"/>
  <c r="A11" i="2"/>
  <c r="B11" i="2"/>
  <c r="C11" i="2"/>
  <c r="D11" i="2"/>
  <c r="E11" i="2"/>
  <c r="F11" i="2"/>
  <c r="G11" i="2"/>
  <c r="H11" i="2"/>
  <c r="A12" i="2"/>
  <c r="B12" i="2"/>
  <c r="C12" i="2"/>
  <c r="D12" i="2"/>
  <c r="E12" i="2"/>
  <c r="F12" i="2"/>
  <c r="G12" i="2"/>
  <c r="H12" i="2"/>
  <c r="I12" i="2"/>
  <c r="A13" i="2"/>
  <c r="B13" i="2"/>
  <c r="C13" i="2"/>
  <c r="D13" i="2"/>
  <c r="E13" i="2"/>
  <c r="F13" i="2"/>
  <c r="G13" i="2"/>
  <c r="H13" i="2"/>
  <c r="A14" i="2"/>
  <c r="B14" i="2"/>
  <c r="C14" i="2"/>
  <c r="D14" i="2"/>
  <c r="E14" i="2"/>
  <c r="F14" i="2"/>
  <c r="G14" i="2"/>
  <c r="H14" i="2"/>
  <c r="A15" i="2"/>
  <c r="B15" i="2"/>
  <c r="C15" i="2"/>
  <c r="D15" i="2"/>
  <c r="E15" i="2"/>
  <c r="F15" i="2"/>
  <c r="G15" i="2"/>
  <c r="H15" i="2"/>
  <c r="A16" i="2"/>
  <c r="C16" i="2"/>
  <c r="D16" i="2"/>
  <c r="E16" i="2"/>
  <c r="F16" i="2"/>
  <c r="G16" i="2"/>
  <c r="H16" i="2"/>
  <c r="A17" i="2"/>
  <c r="B17" i="2"/>
  <c r="C17" i="2"/>
  <c r="D17" i="2"/>
  <c r="E17" i="2"/>
  <c r="F17" i="2"/>
  <c r="G17" i="2"/>
  <c r="H17" i="2"/>
  <c r="I17" i="2"/>
  <c r="A18" i="2"/>
  <c r="B18" i="2"/>
  <c r="C18" i="2"/>
  <c r="D18" i="2"/>
  <c r="E18" i="2"/>
  <c r="F18" i="2"/>
  <c r="G18" i="2"/>
  <c r="H18" i="2"/>
  <c r="I18" i="2"/>
  <c r="A19" i="2"/>
  <c r="B19" i="2"/>
  <c r="C19" i="2"/>
  <c r="D19" i="2"/>
  <c r="E19" i="2"/>
  <c r="F19" i="2"/>
  <c r="G19" i="2"/>
  <c r="H19" i="2"/>
  <c r="I19" i="2"/>
  <c r="A20" i="2"/>
  <c r="B20" i="2"/>
  <c r="C20" i="2"/>
  <c r="D20" i="2"/>
  <c r="E20" i="2"/>
  <c r="F20" i="2"/>
  <c r="G20" i="2"/>
  <c r="H20" i="2"/>
  <c r="A21" i="2"/>
  <c r="B21" i="2"/>
  <c r="C21" i="2"/>
  <c r="D21" i="2"/>
  <c r="E21" i="2"/>
  <c r="F21" i="2"/>
  <c r="G21" i="2"/>
  <c r="H21" i="2"/>
  <c r="A22" i="2"/>
  <c r="B22" i="2"/>
  <c r="C22" i="2"/>
  <c r="D22" i="2"/>
  <c r="E22" i="2"/>
  <c r="F22" i="2"/>
  <c r="G22" i="2"/>
  <c r="H22" i="2"/>
  <c r="I22" i="2"/>
  <c r="A23" i="2"/>
  <c r="B23" i="2"/>
  <c r="C23" i="2"/>
  <c r="D23" i="2"/>
  <c r="E23" i="2"/>
  <c r="F23" i="2"/>
  <c r="G23" i="2"/>
  <c r="H23" i="2"/>
  <c r="I23" i="2"/>
  <c r="A24" i="2"/>
  <c r="B24" i="2"/>
  <c r="C24" i="2"/>
  <c r="D24" i="2"/>
  <c r="E24" i="2"/>
  <c r="F24" i="2"/>
  <c r="G24" i="2"/>
  <c r="H24" i="2"/>
  <c r="A25" i="2"/>
  <c r="B25" i="2"/>
  <c r="C25" i="2"/>
  <c r="D25" i="2"/>
  <c r="E25" i="2"/>
  <c r="F25" i="2"/>
  <c r="G25" i="2"/>
  <c r="H25" i="2"/>
  <c r="I25" i="2"/>
  <c r="A26" i="2"/>
  <c r="B26" i="2"/>
  <c r="C26" i="2"/>
  <c r="D26" i="2"/>
  <c r="E26" i="2"/>
  <c r="F26" i="2"/>
  <c r="G26" i="2"/>
  <c r="H26" i="2"/>
  <c r="A27" i="2"/>
  <c r="B27" i="2"/>
  <c r="C27" i="2"/>
  <c r="D27" i="2"/>
  <c r="E27" i="2"/>
  <c r="F27" i="2"/>
  <c r="G27" i="2"/>
  <c r="H27" i="2"/>
  <c r="I27" i="2"/>
  <c r="A28" i="2"/>
  <c r="C28" i="2"/>
  <c r="D28" i="2"/>
  <c r="E28" i="2"/>
  <c r="F28" i="2"/>
  <c r="G28" i="2"/>
  <c r="H28" i="2"/>
  <c r="A29" i="2"/>
  <c r="C29" i="2"/>
  <c r="D29" i="2"/>
  <c r="E29" i="2"/>
  <c r="F29" i="2"/>
  <c r="G29" i="2"/>
  <c r="H29" i="2"/>
  <c r="A30" i="2"/>
  <c r="C30" i="2"/>
  <c r="D30" i="2"/>
  <c r="E30" i="2"/>
  <c r="F30" i="2"/>
  <c r="G30" i="2"/>
  <c r="H30" i="2"/>
  <c r="I30" i="2"/>
  <c r="A31" i="2"/>
  <c r="B31" i="2"/>
  <c r="C31" i="2"/>
  <c r="D31" i="2"/>
  <c r="E31" i="2"/>
  <c r="F31" i="2"/>
  <c r="G31" i="2"/>
  <c r="H31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A34" i="2"/>
  <c r="B34" i="2"/>
  <c r="C34" i="2"/>
  <c r="D34" i="2"/>
  <c r="E34" i="2"/>
  <c r="F34" i="2"/>
  <c r="G34" i="2"/>
  <c r="H34" i="2"/>
  <c r="I34" i="2"/>
  <c r="A35" i="2"/>
  <c r="B35" i="2"/>
  <c r="C35" i="2"/>
  <c r="D35" i="2"/>
  <c r="E35" i="2"/>
  <c r="F35" i="2"/>
  <c r="G35" i="2"/>
  <c r="H35" i="2"/>
  <c r="I35" i="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A39" i="2"/>
  <c r="B39" i="2"/>
  <c r="C39" i="2"/>
  <c r="D39" i="2"/>
  <c r="E39" i="2"/>
  <c r="F39" i="2"/>
  <c r="G39" i="2"/>
  <c r="H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A42" i="2"/>
  <c r="B42" i="2"/>
  <c r="C42" i="2"/>
  <c r="D42" i="2"/>
  <c r="E42" i="2"/>
  <c r="F42" i="2"/>
  <c r="G42" i="2"/>
  <c r="H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A50" i="2"/>
  <c r="B50" i="2"/>
  <c r="C50" i="2"/>
  <c r="D50" i="2"/>
  <c r="E50" i="2"/>
  <c r="F50" i="2"/>
  <c r="G50" i="2"/>
  <c r="H50" i="2"/>
  <c r="A51" i="2"/>
  <c r="B51" i="2"/>
  <c r="C51" i="2"/>
  <c r="D51" i="2"/>
  <c r="E51" i="2"/>
  <c r="F51" i="2"/>
  <c r="G51" i="2"/>
  <c r="H51" i="2"/>
  <c r="I51" i="2"/>
  <c r="A52" i="2"/>
  <c r="B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A63" i="2"/>
  <c r="B63" i="2"/>
  <c r="C63" i="2"/>
  <c r="D63" i="2"/>
  <c r="E63" i="2"/>
  <c r="F63" i="2"/>
  <c r="G63" i="2"/>
  <c r="H63" i="2"/>
  <c r="A64" i="2"/>
  <c r="B64" i="2"/>
  <c r="C64" i="2"/>
  <c r="D64" i="2"/>
  <c r="E64" i="2"/>
  <c r="F64" i="2"/>
  <c r="G64" i="2"/>
  <c r="H64" i="2"/>
  <c r="I64" i="2"/>
  <c r="A65" i="2"/>
  <c r="B65" i="2"/>
  <c r="C65" i="2"/>
  <c r="D65" i="2"/>
  <c r="E65" i="2"/>
  <c r="F65" i="2"/>
  <c r="G65" i="2"/>
  <c r="H65" i="2"/>
  <c r="A66" i="2"/>
  <c r="B66" i="2"/>
  <c r="C66" i="2"/>
  <c r="D66" i="2"/>
  <c r="E66" i="2"/>
  <c r="F66" i="2"/>
  <c r="G66" i="2"/>
  <c r="H66" i="2"/>
  <c r="A67" i="2"/>
  <c r="B67" i="2"/>
  <c r="C67" i="2"/>
  <c r="D67" i="2"/>
  <c r="E67" i="2"/>
  <c r="F67" i="2"/>
  <c r="G67" i="2"/>
  <c r="H67" i="2"/>
  <c r="A68" i="2"/>
  <c r="B68" i="2"/>
  <c r="C68" i="2"/>
  <c r="D68" i="2"/>
  <c r="E68" i="2"/>
  <c r="F68" i="2"/>
  <c r="G68" i="2"/>
  <c r="H68" i="2"/>
  <c r="I68" i="2"/>
  <c r="A69" i="2"/>
  <c r="B69" i="2"/>
  <c r="C69" i="2"/>
  <c r="D69" i="2"/>
  <c r="E69" i="2"/>
  <c r="F69" i="2"/>
  <c r="G69" i="2"/>
  <c r="H69" i="2"/>
  <c r="I69" i="2"/>
  <c r="A70" i="2"/>
  <c r="B70" i="2"/>
  <c r="C70" i="2"/>
  <c r="D70" i="2"/>
  <c r="E70" i="2"/>
  <c r="F70" i="2"/>
  <c r="G70" i="2"/>
  <c r="H70" i="2"/>
  <c r="A71" i="2"/>
  <c r="B71" i="2"/>
  <c r="C71" i="2"/>
  <c r="D71" i="2"/>
  <c r="E71" i="2"/>
  <c r="F71" i="2"/>
  <c r="G71" i="2"/>
  <c r="H71" i="2"/>
  <c r="A72" i="2"/>
  <c r="B72" i="2"/>
  <c r="C72" i="2"/>
  <c r="D72" i="2"/>
  <c r="E72" i="2"/>
  <c r="F72" i="2"/>
  <c r="G72" i="2"/>
  <c r="H72" i="2"/>
  <c r="I72" i="2"/>
  <c r="A73" i="2"/>
  <c r="B73" i="2"/>
  <c r="C73" i="2"/>
  <c r="D73" i="2"/>
  <c r="E73" i="2"/>
  <c r="F73" i="2"/>
  <c r="G73" i="2"/>
  <c r="H73" i="2"/>
  <c r="I73" i="2"/>
  <c r="A74" i="2"/>
  <c r="B74" i="2"/>
  <c r="C74" i="2"/>
  <c r="D74" i="2"/>
  <c r="E74" i="2"/>
  <c r="F74" i="2"/>
  <c r="G74" i="2"/>
  <c r="H74" i="2"/>
  <c r="A75" i="2"/>
  <c r="B75" i="2"/>
  <c r="C75" i="2"/>
  <c r="D75" i="2"/>
  <c r="E75" i="2"/>
  <c r="F75" i="2"/>
  <c r="G75" i="2"/>
  <c r="H75" i="2"/>
  <c r="I75" i="2"/>
  <c r="A76" i="2"/>
  <c r="B76" i="2"/>
  <c r="C76" i="2"/>
  <c r="D76" i="2"/>
  <c r="E76" i="2"/>
  <c r="F76" i="2"/>
  <c r="G76" i="2"/>
  <c r="H76" i="2"/>
  <c r="A77" i="2"/>
  <c r="B77" i="2"/>
  <c r="C77" i="2"/>
  <c r="D77" i="2"/>
  <c r="E77" i="2"/>
  <c r="F77" i="2"/>
  <c r="G77" i="2"/>
  <c r="H77" i="2"/>
  <c r="I77" i="2"/>
  <c r="A78" i="2"/>
  <c r="B78" i="2"/>
  <c r="C78" i="2"/>
  <c r="D78" i="2"/>
  <c r="E78" i="2"/>
  <c r="F78" i="2"/>
  <c r="G78" i="2"/>
  <c r="H78" i="2"/>
  <c r="A79" i="2"/>
  <c r="B79" i="2"/>
  <c r="C79" i="2"/>
  <c r="D79" i="2"/>
  <c r="E79" i="2"/>
  <c r="F79" i="2"/>
  <c r="G79" i="2"/>
  <c r="H79" i="2"/>
  <c r="I79" i="2"/>
  <c r="A80" i="2"/>
  <c r="B80" i="2"/>
  <c r="C80" i="2"/>
  <c r="D80" i="2"/>
  <c r="E80" i="2"/>
  <c r="F80" i="2"/>
  <c r="G80" i="2"/>
  <c r="H80" i="2"/>
  <c r="A81" i="2"/>
  <c r="B81" i="2"/>
  <c r="C81" i="2"/>
  <c r="D81" i="2"/>
  <c r="E81" i="2"/>
  <c r="F81" i="2"/>
  <c r="G81" i="2"/>
  <c r="H81" i="2"/>
  <c r="I81" i="2"/>
  <c r="A82" i="2"/>
  <c r="B82" i="2"/>
  <c r="C82" i="2"/>
  <c r="D82" i="2"/>
  <c r="E82" i="2"/>
  <c r="F82" i="2"/>
  <c r="G82" i="2"/>
  <c r="H82" i="2"/>
  <c r="A83" i="2"/>
  <c r="B83" i="2"/>
  <c r="C83" i="2"/>
  <c r="D83" i="2"/>
  <c r="E83" i="2"/>
  <c r="F83" i="2"/>
  <c r="G83" i="2"/>
  <c r="H83" i="2"/>
  <c r="I83" i="2"/>
  <c r="A84" i="2"/>
  <c r="B84" i="2"/>
  <c r="C84" i="2"/>
  <c r="D84" i="2"/>
  <c r="E84" i="2"/>
  <c r="F84" i="2"/>
  <c r="G84" i="2"/>
  <c r="H84" i="2"/>
  <c r="I84" i="2"/>
  <c r="A85" i="2"/>
  <c r="B85" i="2"/>
  <c r="C85" i="2"/>
  <c r="D85" i="2"/>
  <c r="E85" i="2"/>
  <c r="F85" i="2"/>
  <c r="G85" i="2"/>
  <c r="H85" i="2"/>
  <c r="A86" i="2"/>
  <c r="B86" i="2"/>
  <c r="C86" i="2"/>
  <c r="D86" i="2"/>
  <c r="E86" i="2"/>
  <c r="F86" i="2"/>
  <c r="G86" i="2"/>
  <c r="H86" i="2"/>
  <c r="A87" i="2"/>
  <c r="B87" i="2"/>
  <c r="C87" i="2"/>
  <c r="D87" i="2"/>
  <c r="E87" i="2"/>
  <c r="F87" i="2"/>
  <c r="G87" i="2"/>
  <c r="H87" i="2"/>
  <c r="A88" i="2"/>
  <c r="B88" i="2"/>
  <c r="C88" i="2"/>
  <c r="D88" i="2"/>
  <c r="E88" i="2"/>
  <c r="F88" i="2"/>
  <c r="G88" i="2"/>
  <c r="H88" i="2"/>
  <c r="I88" i="2"/>
  <c r="A89" i="2"/>
  <c r="B89" i="2"/>
  <c r="C89" i="2"/>
  <c r="D89" i="2"/>
  <c r="E89" i="2"/>
  <c r="F89" i="2"/>
  <c r="G89" i="2"/>
  <c r="H89" i="2"/>
  <c r="I89" i="2"/>
  <c r="A90" i="2"/>
  <c r="B90" i="2"/>
  <c r="C90" i="2"/>
  <c r="D90" i="2"/>
  <c r="E90" i="2"/>
  <c r="F90" i="2"/>
  <c r="G90" i="2"/>
  <c r="H90" i="2"/>
  <c r="A91" i="2"/>
  <c r="B91" i="2"/>
  <c r="C91" i="2"/>
  <c r="D91" i="2"/>
  <c r="E91" i="2"/>
  <c r="F91" i="2"/>
  <c r="G91" i="2"/>
  <c r="H91" i="2"/>
  <c r="A92" i="2"/>
  <c r="B92" i="2"/>
  <c r="C92" i="2"/>
  <c r="D92" i="2"/>
  <c r="E92" i="2"/>
  <c r="F92" i="2"/>
  <c r="G92" i="2"/>
  <c r="H92" i="2"/>
  <c r="I92" i="2"/>
  <c r="A93" i="2"/>
  <c r="B93" i="2"/>
  <c r="C93" i="2"/>
  <c r="D93" i="2"/>
  <c r="E93" i="2"/>
  <c r="F93" i="2"/>
  <c r="G93" i="2"/>
  <c r="H93" i="2"/>
  <c r="A94" i="2"/>
  <c r="B94" i="2"/>
  <c r="C94" i="2"/>
  <c r="D94" i="2"/>
  <c r="E94" i="2"/>
  <c r="F94" i="2"/>
  <c r="G94" i="2"/>
  <c r="H94" i="2"/>
  <c r="A95" i="2"/>
  <c r="B95" i="2"/>
  <c r="C95" i="2"/>
  <c r="D95" i="2"/>
  <c r="E95" i="2"/>
  <c r="F95" i="2"/>
  <c r="G95" i="2"/>
  <c r="H95" i="2"/>
  <c r="I95" i="2"/>
  <c r="A96" i="2"/>
  <c r="B96" i="2"/>
  <c r="C96" i="2"/>
  <c r="D96" i="2"/>
  <c r="E96" i="2"/>
  <c r="F96" i="2"/>
  <c r="G96" i="2"/>
  <c r="H96" i="2"/>
  <c r="A97" i="2"/>
  <c r="B97" i="2"/>
  <c r="C97" i="2"/>
  <c r="D97" i="2"/>
  <c r="E97" i="2"/>
  <c r="F97" i="2"/>
  <c r="G97" i="2"/>
  <c r="H97" i="2"/>
  <c r="A98" i="2"/>
  <c r="B98" i="2"/>
  <c r="C98" i="2"/>
  <c r="D98" i="2"/>
  <c r="E98" i="2"/>
  <c r="F98" i="2"/>
  <c r="G98" i="2"/>
  <c r="H98" i="2"/>
  <c r="A99" i="2"/>
  <c r="B99" i="2"/>
  <c r="C99" i="2"/>
  <c r="D99" i="2"/>
  <c r="E99" i="2"/>
  <c r="F99" i="2"/>
  <c r="G99" i="2"/>
  <c r="H99" i="2"/>
  <c r="I99" i="2"/>
  <c r="A100" i="2"/>
  <c r="B100" i="2"/>
  <c r="C100" i="2"/>
  <c r="D100" i="2"/>
  <c r="E100" i="2"/>
  <c r="F100" i="2"/>
  <c r="G100" i="2"/>
  <c r="H100" i="2"/>
  <c r="I100" i="2"/>
  <c r="A101" i="2"/>
  <c r="B101" i="2"/>
  <c r="C101" i="2"/>
  <c r="D101" i="2"/>
  <c r="E101" i="2"/>
  <c r="F101" i="2"/>
  <c r="G101" i="2"/>
  <c r="H101" i="2"/>
  <c r="A102" i="2"/>
  <c r="B102" i="2"/>
  <c r="C102" i="2"/>
  <c r="D102" i="2"/>
  <c r="E102" i="2"/>
  <c r="F102" i="2"/>
  <c r="G102" i="2"/>
  <c r="H102" i="2"/>
  <c r="A103" i="2"/>
  <c r="B103" i="2"/>
  <c r="C103" i="2"/>
  <c r="D103" i="2"/>
  <c r="E103" i="2"/>
  <c r="F103" i="2"/>
  <c r="G103" i="2"/>
  <c r="H103" i="2"/>
  <c r="I103" i="2"/>
  <c r="A104" i="2"/>
  <c r="B104" i="2"/>
  <c r="C104" i="2"/>
  <c r="D104" i="2"/>
  <c r="E104" i="2"/>
  <c r="F104" i="2"/>
  <c r="G104" i="2"/>
  <c r="H104" i="2"/>
  <c r="I104" i="2"/>
  <c r="A105" i="2"/>
  <c r="B105" i="2"/>
  <c r="C105" i="2"/>
  <c r="D105" i="2"/>
  <c r="E105" i="2"/>
  <c r="F105" i="2"/>
  <c r="G105" i="2"/>
  <c r="H105" i="2"/>
  <c r="A106" i="2"/>
  <c r="B106" i="2"/>
  <c r="C106" i="2"/>
  <c r="D106" i="2"/>
  <c r="E106" i="2"/>
  <c r="F106" i="2"/>
  <c r="G106" i="2"/>
  <c r="H106" i="2"/>
  <c r="I106" i="2"/>
  <c r="A107" i="2"/>
  <c r="B107" i="2"/>
  <c r="C107" i="2"/>
  <c r="D107" i="2"/>
  <c r="E107" i="2"/>
  <c r="F107" i="2"/>
  <c r="G107" i="2"/>
  <c r="H107" i="2"/>
  <c r="A108" i="2"/>
  <c r="B108" i="2"/>
  <c r="C108" i="2"/>
  <c r="D108" i="2"/>
  <c r="E108" i="2"/>
  <c r="F108" i="2"/>
  <c r="G108" i="2"/>
  <c r="H108" i="2"/>
  <c r="I108" i="2"/>
  <c r="A109" i="2"/>
  <c r="B109" i="2"/>
  <c r="C109" i="2"/>
  <c r="D109" i="2"/>
  <c r="E109" i="2"/>
  <c r="F109" i="2"/>
  <c r="G109" i="2"/>
  <c r="H109" i="2"/>
  <c r="A110" i="2"/>
  <c r="B110" i="2"/>
  <c r="C110" i="2"/>
  <c r="D110" i="2"/>
  <c r="E110" i="2"/>
  <c r="F110" i="2"/>
  <c r="G110" i="2"/>
  <c r="H110" i="2"/>
  <c r="A111" i="2"/>
  <c r="B111" i="2"/>
  <c r="C111" i="2"/>
  <c r="D111" i="2"/>
  <c r="E111" i="2"/>
  <c r="F111" i="2"/>
  <c r="G111" i="2"/>
  <c r="H111" i="2"/>
  <c r="I111" i="2"/>
  <c r="A112" i="2"/>
  <c r="B112" i="2"/>
  <c r="C112" i="2"/>
  <c r="D112" i="2"/>
  <c r="E112" i="2"/>
  <c r="F112" i="2"/>
  <c r="G112" i="2"/>
  <c r="H112" i="2"/>
  <c r="A113" i="2"/>
  <c r="B113" i="2"/>
  <c r="C113" i="2"/>
  <c r="D113" i="2"/>
  <c r="E113" i="2"/>
  <c r="F113" i="2"/>
  <c r="G113" i="2"/>
  <c r="H113" i="2"/>
  <c r="I113" i="2"/>
  <c r="A114" i="2"/>
  <c r="B114" i="2"/>
  <c r="C114" i="2"/>
  <c r="D114" i="2"/>
  <c r="E114" i="2"/>
  <c r="F114" i="2"/>
  <c r="G114" i="2"/>
  <c r="H114" i="2"/>
  <c r="I114" i="2"/>
  <c r="A115" i="2"/>
  <c r="B115" i="2"/>
  <c r="C115" i="2"/>
  <c r="D115" i="2"/>
  <c r="E115" i="2"/>
  <c r="F115" i="2"/>
  <c r="G115" i="2"/>
  <c r="H115" i="2"/>
  <c r="I115" i="2"/>
  <c r="A116" i="2"/>
  <c r="B116" i="2"/>
  <c r="C116" i="2"/>
  <c r="D116" i="2"/>
  <c r="E116" i="2"/>
  <c r="F116" i="2"/>
  <c r="G116" i="2"/>
  <c r="H116" i="2"/>
  <c r="A117" i="2"/>
  <c r="B117" i="2"/>
  <c r="C117" i="2"/>
  <c r="D117" i="2"/>
  <c r="E117" i="2"/>
  <c r="F117" i="2"/>
  <c r="G117" i="2"/>
  <c r="H117" i="2"/>
  <c r="A118" i="2"/>
  <c r="B118" i="2"/>
  <c r="C118" i="2"/>
  <c r="D118" i="2"/>
  <c r="E118" i="2"/>
  <c r="F118" i="2"/>
  <c r="G118" i="2"/>
  <c r="H118" i="2"/>
  <c r="I118" i="2"/>
  <c r="A119" i="2"/>
  <c r="B119" i="2"/>
  <c r="C119" i="2"/>
  <c r="D119" i="2"/>
  <c r="E119" i="2"/>
  <c r="F119" i="2"/>
  <c r="G119" i="2"/>
  <c r="H119" i="2"/>
  <c r="I119" i="2"/>
  <c r="A120" i="2"/>
  <c r="B120" i="2"/>
  <c r="C120" i="2"/>
  <c r="D120" i="2"/>
  <c r="E120" i="2"/>
  <c r="F120" i="2"/>
  <c r="G120" i="2"/>
  <c r="H120" i="2"/>
  <c r="A121" i="2"/>
  <c r="B121" i="2"/>
  <c r="C121" i="2"/>
  <c r="D121" i="2"/>
  <c r="E121" i="2"/>
  <c r="F121" i="2"/>
  <c r="G121" i="2"/>
  <c r="H121" i="2"/>
  <c r="A122" i="2"/>
  <c r="B122" i="2"/>
  <c r="C122" i="2"/>
  <c r="D122" i="2"/>
  <c r="E122" i="2"/>
  <c r="F122" i="2"/>
  <c r="G122" i="2"/>
  <c r="H122" i="2"/>
  <c r="I122" i="2"/>
  <c r="A123" i="2"/>
  <c r="B123" i="2"/>
  <c r="C123" i="2"/>
  <c r="D123" i="2"/>
  <c r="E123" i="2"/>
  <c r="F123" i="2"/>
  <c r="G123" i="2"/>
  <c r="H123" i="2"/>
  <c r="A124" i="2"/>
  <c r="B124" i="2"/>
  <c r="C124" i="2"/>
  <c r="D124" i="2"/>
  <c r="E124" i="2"/>
  <c r="F124" i="2"/>
  <c r="G124" i="2"/>
  <c r="H124" i="2"/>
  <c r="I124" i="2"/>
  <c r="A125" i="2"/>
  <c r="B125" i="2"/>
  <c r="C125" i="2"/>
  <c r="D125" i="2"/>
  <c r="E125" i="2"/>
  <c r="F125" i="2"/>
  <c r="G125" i="2"/>
  <c r="H125" i="2"/>
  <c r="A126" i="2"/>
  <c r="B126" i="2"/>
  <c r="C126" i="2"/>
  <c r="D126" i="2"/>
  <c r="E126" i="2"/>
  <c r="F126" i="2"/>
  <c r="G126" i="2"/>
  <c r="H126" i="2"/>
  <c r="I126" i="2"/>
  <c r="A127" i="2"/>
  <c r="B127" i="2"/>
  <c r="C127" i="2"/>
  <c r="D127" i="2"/>
  <c r="E127" i="2"/>
  <c r="F127" i="2"/>
  <c r="G127" i="2"/>
  <c r="H127" i="2"/>
  <c r="I127" i="2"/>
  <c r="A128" i="2"/>
  <c r="B128" i="2"/>
  <c r="C128" i="2"/>
  <c r="D128" i="2"/>
  <c r="E128" i="2"/>
  <c r="F128" i="2"/>
  <c r="G128" i="2"/>
  <c r="H128" i="2"/>
  <c r="A129" i="2"/>
  <c r="B129" i="2"/>
  <c r="C129" i="2"/>
  <c r="D129" i="2"/>
  <c r="E129" i="2"/>
  <c r="F129" i="2"/>
  <c r="G129" i="2"/>
  <c r="H129" i="2"/>
  <c r="I129" i="2"/>
  <c r="A130" i="2"/>
  <c r="B130" i="2"/>
  <c r="C130" i="2"/>
  <c r="D130" i="2"/>
  <c r="E130" i="2"/>
  <c r="F130" i="2"/>
  <c r="G130" i="2"/>
  <c r="H130" i="2"/>
  <c r="A131" i="2"/>
  <c r="B131" i="2"/>
  <c r="C131" i="2"/>
  <c r="D131" i="2"/>
  <c r="E131" i="2"/>
  <c r="F131" i="2"/>
  <c r="G131" i="2"/>
  <c r="H131" i="2"/>
  <c r="A132" i="2"/>
  <c r="B132" i="2"/>
  <c r="C132" i="2"/>
  <c r="D132" i="2"/>
  <c r="E132" i="2"/>
  <c r="F132" i="2"/>
  <c r="G132" i="2"/>
  <c r="H132" i="2"/>
  <c r="A133" i="2"/>
  <c r="B133" i="2"/>
  <c r="C133" i="2"/>
  <c r="D133" i="2"/>
  <c r="E133" i="2"/>
  <c r="F133" i="2"/>
  <c r="G133" i="2"/>
  <c r="H133" i="2"/>
  <c r="I133" i="2"/>
  <c r="A134" i="2"/>
  <c r="B134" i="2"/>
  <c r="C134" i="2"/>
  <c r="D134" i="2"/>
  <c r="E134" i="2"/>
  <c r="F134" i="2"/>
  <c r="G134" i="2"/>
  <c r="H134" i="2"/>
  <c r="A135" i="2"/>
  <c r="B135" i="2"/>
  <c r="C135" i="2"/>
  <c r="D135" i="2"/>
  <c r="E135" i="2"/>
  <c r="F135" i="2"/>
  <c r="G135" i="2"/>
  <c r="H135" i="2"/>
  <c r="I135" i="2"/>
  <c r="A136" i="2"/>
  <c r="B136" i="2"/>
  <c r="C136" i="2"/>
  <c r="D136" i="2"/>
  <c r="E136" i="2"/>
  <c r="F136" i="2"/>
  <c r="G136" i="2"/>
  <c r="H136" i="2"/>
  <c r="I136" i="2"/>
  <c r="A137" i="2"/>
  <c r="B137" i="2"/>
  <c r="C137" i="2"/>
  <c r="D137" i="2"/>
  <c r="E137" i="2"/>
  <c r="F137" i="2"/>
  <c r="G137" i="2"/>
  <c r="H137" i="2"/>
  <c r="A138" i="2"/>
  <c r="B138" i="2"/>
  <c r="C138" i="2"/>
  <c r="D138" i="2"/>
  <c r="E138" i="2"/>
  <c r="F138" i="2"/>
  <c r="G138" i="2"/>
  <c r="H138" i="2"/>
  <c r="I138" i="2"/>
  <c r="A139" i="2"/>
  <c r="B139" i="2"/>
  <c r="C139" i="2"/>
  <c r="D139" i="2"/>
  <c r="E139" i="2"/>
  <c r="F139" i="2"/>
  <c r="G139" i="2"/>
  <c r="H139" i="2"/>
  <c r="A140" i="2"/>
  <c r="B140" i="2"/>
  <c r="C140" i="2"/>
  <c r="D140" i="2"/>
  <c r="E140" i="2"/>
  <c r="F140" i="2"/>
  <c r="G140" i="2"/>
  <c r="H140" i="2"/>
  <c r="I140" i="2"/>
  <c r="A141" i="2"/>
  <c r="C141" i="2"/>
  <c r="D141" i="2"/>
  <c r="E141" i="2"/>
  <c r="F141" i="2"/>
  <c r="G141" i="2"/>
  <c r="H141" i="2"/>
  <c r="A142" i="2"/>
  <c r="B142" i="2"/>
  <c r="C142" i="2"/>
  <c r="D142" i="2"/>
  <c r="E142" i="2"/>
  <c r="F142" i="2"/>
  <c r="G142" i="2"/>
  <c r="H142" i="2"/>
  <c r="I142" i="2"/>
  <c r="A143" i="2"/>
  <c r="B143" i="2"/>
  <c r="C143" i="2"/>
  <c r="D143" i="2"/>
  <c r="E143" i="2"/>
  <c r="F143" i="2"/>
  <c r="G143" i="2"/>
  <c r="H143" i="2"/>
  <c r="A144" i="2"/>
  <c r="B144" i="2"/>
  <c r="C144" i="2"/>
  <c r="D144" i="2"/>
  <c r="E144" i="2"/>
  <c r="F144" i="2"/>
  <c r="G144" i="2"/>
  <c r="H144" i="2"/>
  <c r="I144" i="2"/>
  <c r="A145" i="2"/>
  <c r="B145" i="2"/>
  <c r="C145" i="2"/>
  <c r="D145" i="2"/>
  <c r="E145" i="2"/>
  <c r="F145" i="2"/>
  <c r="G145" i="2"/>
  <c r="H145" i="2"/>
  <c r="A146" i="2"/>
  <c r="B146" i="2"/>
  <c r="C146" i="2"/>
  <c r="D146" i="2"/>
  <c r="E146" i="2"/>
  <c r="F146" i="2"/>
  <c r="G146" i="2"/>
  <c r="H146" i="2"/>
  <c r="I146" i="2"/>
  <c r="A147" i="2"/>
  <c r="B147" i="2"/>
  <c r="C147" i="2"/>
  <c r="D147" i="2"/>
  <c r="E147" i="2"/>
  <c r="F147" i="2"/>
  <c r="G147" i="2"/>
  <c r="H147" i="2"/>
  <c r="A148" i="2"/>
  <c r="B148" i="2"/>
  <c r="C148" i="2"/>
  <c r="D148" i="2"/>
  <c r="E148" i="2"/>
  <c r="F148" i="2"/>
  <c r="G148" i="2"/>
  <c r="H148" i="2"/>
  <c r="I148" i="2"/>
  <c r="A149" i="2"/>
  <c r="B149" i="2"/>
  <c r="C149" i="2"/>
  <c r="D149" i="2"/>
  <c r="E149" i="2"/>
  <c r="F149" i="2"/>
  <c r="G149" i="2"/>
  <c r="H149" i="2"/>
  <c r="I149" i="2"/>
  <c r="A150" i="2"/>
  <c r="B150" i="2"/>
  <c r="C150" i="2"/>
  <c r="D150" i="2"/>
  <c r="E150" i="2"/>
  <c r="F150" i="2"/>
  <c r="G150" i="2"/>
  <c r="H150" i="2"/>
  <c r="A151" i="2"/>
  <c r="B151" i="2"/>
  <c r="C151" i="2"/>
  <c r="D151" i="2"/>
  <c r="E151" i="2"/>
  <c r="F151" i="2"/>
  <c r="G151" i="2"/>
  <c r="H151" i="2"/>
  <c r="A152" i="2"/>
  <c r="B152" i="2"/>
  <c r="C152" i="2"/>
  <c r="D152" i="2"/>
  <c r="E152" i="2"/>
  <c r="F152" i="2"/>
  <c r="G152" i="2"/>
  <c r="H152" i="2"/>
  <c r="I152" i="2"/>
  <c r="A153" i="2"/>
  <c r="C153" i="2"/>
  <c r="D153" i="2"/>
  <c r="E153" i="2"/>
  <c r="F153" i="2"/>
  <c r="G153" i="2"/>
  <c r="H153" i="2"/>
  <c r="I153" i="2"/>
  <c r="A154" i="2"/>
  <c r="C154" i="2"/>
  <c r="D154" i="2"/>
  <c r="E154" i="2"/>
  <c r="F154" i="2"/>
  <c r="G154" i="2"/>
  <c r="H154" i="2"/>
  <c r="A155" i="2"/>
  <c r="B155" i="2"/>
  <c r="D155" i="2"/>
  <c r="E155" i="2"/>
  <c r="F155" i="2"/>
  <c r="G155" i="2"/>
  <c r="H155" i="2"/>
  <c r="I155" i="2"/>
  <c r="A156" i="2"/>
  <c r="B156" i="2"/>
  <c r="C156" i="2"/>
  <c r="D156" i="2"/>
  <c r="E156" i="2"/>
  <c r="F156" i="2"/>
  <c r="G156" i="2"/>
  <c r="H156" i="2"/>
  <c r="I156" i="2"/>
  <c r="A157" i="2"/>
  <c r="B157" i="2"/>
  <c r="C157" i="2"/>
  <c r="D157" i="2"/>
  <c r="E157" i="2"/>
  <c r="F157" i="2"/>
  <c r="G157" i="2"/>
  <c r="H157" i="2"/>
  <c r="I157" i="2"/>
  <c r="A158" i="2"/>
  <c r="B158" i="2"/>
  <c r="C158" i="2"/>
  <c r="D158" i="2"/>
  <c r="E158" i="2"/>
  <c r="F158" i="2"/>
  <c r="G158" i="2"/>
  <c r="H158" i="2"/>
  <c r="I158" i="2"/>
  <c r="A159" i="2"/>
  <c r="B159" i="2"/>
  <c r="C159" i="2"/>
  <c r="D159" i="2"/>
  <c r="E159" i="2"/>
  <c r="F159" i="2"/>
  <c r="G159" i="2"/>
  <c r="H159" i="2"/>
  <c r="I159" i="2"/>
  <c r="A160" i="2"/>
  <c r="B160" i="2"/>
  <c r="C160" i="2"/>
  <c r="D160" i="2"/>
  <c r="E160" i="2"/>
  <c r="F160" i="2"/>
  <c r="G160" i="2"/>
  <c r="H160" i="2"/>
  <c r="I160" i="2"/>
  <c r="A161" i="2"/>
  <c r="B161" i="2"/>
  <c r="C161" i="2"/>
  <c r="D161" i="2"/>
  <c r="E161" i="2"/>
  <c r="F161" i="2"/>
  <c r="G161" i="2"/>
  <c r="H161" i="2"/>
  <c r="I161" i="2"/>
  <c r="A162" i="2"/>
  <c r="B162" i="2"/>
  <c r="C162" i="2"/>
  <c r="D162" i="2"/>
  <c r="E162" i="2"/>
  <c r="F162" i="2"/>
  <c r="G162" i="2"/>
  <c r="H162" i="2"/>
  <c r="I162" i="2"/>
  <c r="A163" i="2"/>
  <c r="B163" i="2"/>
  <c r="C163" i="2"/>
  <c r="D163" i="2"/>
  <c r="E163" i="2"/>
  <c r="F163" i="2"/>
  <c r="G163" i="2"/>
  <c r="H163" i="2"/>
  <c r="I163" i="2"/>
  <c r="A164" i="2"/>
  <c r="B164" i="2"/>
  <c r="C164" i="2"/>
  <c r="D164" i="2"/>
  <c r="E164" i="2"/>
  <c r="F164" i="2"/>
  <c r="G164" i="2"/>
  <c r="H164" i="2"/>
  <c r="I164" i="2"/>
  <c r="A165" i="2"/>
  <c r="B165" i="2"/>
  <c r="C165" i="2"/>
  <c r="D165" i="2"/>
  <c r="E165" i="2"/>
  <c r="F165" i="2"/>
  <c r="G165" i="2"/>
  <c r="H165" i="2"/>
  <c r="I165" i="2"/>
  <c r="A166" i="2"/>
  <c r="B166" i="2"/>
  <c r="C166" i="2"/>
  <c r="D166" i="2"/>
  <c r="E166" i="2"/>
  <c r="F166" i="2"/>
  <c r="G166" i="2"/>
  <c r="H166" i="2"/>
  <c r="I166" i="2"/>
  <c r="A167" i="2"/>
  <c r="B167" i="2"/>
  <c r="C167" i="2"/>
  <c r="D167" i="2"/>
  <c r="E167" i="2"/>
  <c r="F167" i="2"/>
  <c r="G167" i="2"/>
  <c r="H167" i="2"/>
  <c r="I167" i="2"/>
  <c r="A168" i="2"/>
  <c r="B168" i="2"/>
  <c r="C168" i="2"/>
  <c r="D168" i="2"/>
  <c r="E168" i="2"/>
  <c r="F168" i="2"/>
  <c r="G168" i="2"/>
  <c r="H168" i="2"/>
  <c r="I168" i="2"/>
  <c r="A169" i="2"/>
  <c r="B169" i="2"/>
  <c r="C169" i="2"/>
  <c r="D169" i="2"/>
  <c r="E169" i="2"/>
  <c r="F169" i="2"/>
  <c r="G169" i="2"/>
  <c r="H169" i="2"/>
  <c r="I169" i="2"/>
  <c r="A170" i="2"/>
  <c r="B170" i="2"/>
  <c r="C170" i="2"/>
  <c r="D170" i="2"/>
  <c r="E170" i="2"/>
  <c r="F170" i="2"/>
  <c r="G170" i="2"/>
  <c r="H170" i="2"/>
  <c r="I170" i="2"/>
  <c r="A171" i="2"/>
  <c r="B171" i="2"/>
  <c r="C171" i="2"/>
  <c r="D171" i="2"/>
  <c r="E171" i="2"/>
  <c r="F171" i="2"/>
  <c r="G171" i="2"/>
  <c r="H171" i="2"/>
  <c r="I171" i="2"/>
  <c r="A172" i="2"/>
  <c r="B172" i="2"/>
  <c r="C172" i="2"/>
  <c r="D172" i="2"/>
  <c r="E172" i="2"/>
  <c r="F172" i="2"/>
  <c r="G172" i="2"/>
  <c r="H172" i="2"/>
  <c r="I172" i="2"/>
  <c r="A173" i="2"/>
  <c r="B173" i="2"/>
  <c r="C173" i="2"/>
  <c r="D173" i="2"/>
  <c r="E173" i="2"/>
  <c r="F173" i="2"/>
  <c r="G173" i="2"/>
  <c r="H173" i="2"/>
  <c r="I173" i="2"/>
  <c r="A174" i="2"/>
  <c r="B174" i="2"/>
  <c r="C174" i="2"/>
  <c r="D174" i="2"/>
  <c r="E174" i="2"/>
  <c r="F174" i="2"/>
  <c r="G174" i="2"/>
  <c r="H174" i="2"/>
  <c r="I174" i="2"/>
  <c r="A175" i="2"/>
  <c r="B175" i="2"/>
  <c r="C175" i="2"/>
  <c r="D175" i="2"/>
  <c r="E175" i="2"/>
  <c r="F175" i="2"/>
  <c r="G175" i="2"/>
  <c r="H175" i="2"/>
  <c r="I175" i="2"/>
  <c r="A176" i="2"/>
  <c r="B176" i="2"/>
  <c r="C176" i="2"/>
  <c r="D176" i="2"/>
  <c r="E176" i="2"/>
  <c r="F176" i="2"/>
  <c r="G176" i="2"/>
  <c r="H176" i="2"/>
  <c r="I176" i="2"/>
  <c r="A177" i="2"/>
  <c r="B177" i="2"/>
  <c r="C177" i="2"/>
  <c r="D177" i="2"/>
  <c r="E177" i="2"/>
  <c r="F177" i="2"/>
  <c r="G177" i="2"/>
  <c r="H177" i="2"/>
  <c r="I177" i="2"/>
  <c r="A178" i="2"/>
  <c r="B178" i="2"/>
  <c r="C178" i="2"/>
  <c r="D178" i="2"/>
  <c r="E178" i="2"/>
  <c r="F178" i="2"/>
  <c r="G178" i="2"/>
  <c r="H178" i="2"/>
  <c r="I178" i="2"/>
  <c r="A179" i="2"/>
  <c r="B179" i="2"/>
  <c r="C179" i="2"/>
  <c r="D179" i="2"/>
  <c r="E179" i="2"/>
  <c r="F179" i="2"/>
  <c r="G179" i="2"/>
  <c r="H179" i="2"/>
  <c r="I179" i="2"/>
  <c r="A180" i="2"/>
  <c r="B180" i="2"/>
  <c r="C180" i="2"/>
  <c r="D180" i="2"/>
  <c r="E180" i="2"/>
  <c r="F180" i="2"/>
  <c r="G180" i="2"/>
  <c r="H180" i="2"/>
  <c r="I180" i="2"/>
  <c r="A1" i="6"/>
  <c r="B1" i="6"/>
  <c r="C1" i="6"/>
  <c r="D1" i="6"/>
  <c r="E1" i="6"/>
  <c r="F1" i="6"/>
  <c r="G1" i="6"/>
  <c r="H1" i="6"/>
  <c r="A2" i="6"/>
  <c r="B2" i="6"/>
  <c r="C2" i="6"/>
  <c r="D2" i="6"/>
  <c r="E2" i="6"/>
  <c r="F2" i="6"/>
  <c r="G2" i="6"/>
  <c r="H2" i="6"/>
  <c r="A3" i="6"/>
  <c r="B3" i="6"/>
  <c r="C3" i="6"/>
  <c r="D3" i="6"/>
  <c r="E3" i="6"/>
  <c r="F3" i="6"/>
  <c r="G3" i="6"/>
  <c r="H3" i="6"/>
  <c r="A4" i="6"/>
  <c r="C4" i="6"/>
  <c r="D4" i="6"/>
  <c r="E4" i="6"/>
  <c r="F4" i="6"/>
  <c r="G4" i="6"/>
  <c r="H4" i="6"/>
  <c r="A5" i="6"/>
  <c r="B5" i="6"/>
  <c r="C5" i="6"/>
  <c r="D5" i="6"/>
  <c r="E5" i="6"/>
  <c r="F5" i="6"/>
  <c r="G5" i="6"/>
  <c r="H5" i="6"/>
  <c r="A6" i="6"/>
  <c r="B6" i="6"/>
  <c r="C6" i="6"/>
  <c r="D6" i="6"/>
  <c r="E6" i="6"/>
  <c r="F6" i="6"/>
  <c r="G6" i="6"/>
  <c r="H6" i="6"/>
  <c r="A7" i="6"/>
  <c r="C7" i="6"/>
  <c r="D7" i="6"/>
  <c r="E7" i="6"/>
  <c r="F7" i="6"/>
  <c r="G7" i="6"/>
  <c r="H7" i="6"/>
  <c r="A8" i="6"/>
  <c r="B8" i="6"/>
  <c r="C8" i="6"/>
  <c r="D8" i="6"/>
  <c r="E8" i="6"/>
  <c r="F8" i="6"/>
  <c r="G8" i="6"/>
  <c r="H8" i="6"/>
  <c r="A9" i="6"/>
  <c r="B9" i="6"/>
  <c r="C9" i="6"/>
  <c r="D9" i="6"/>
  <c r="E9" i="6"/>
  <c r="F9" i="6"/>
  <c r="G9" i="6"/>
  <c r="H9" i="6"/>
  <c r="A10" i="6"/>
  <c r="B10" i="6"/>
  <c r="C10" i="6"/>
  <c r="D10" i="6"/>
  <c r="E10" i="6"/>
  <c r="F10" i="6"/>
  <c r="G10" i="6"/>
  <c r="H10" i="6"/>
  <c r="A11" i="6"/>
  <c r="C11" i="6"/>
  <c r="D11" i="6"/>
  <c r="E11" i="6"/>
  <c r="F11" i="6"/>
  <c r="G11" i="6"/>
  <c r="H11" i="6"/>
  <c r="A12" i="6"/>
  <c r="B12" i="6"/>
  <c r="C12" i="6"/>
  <c r="D12" i="6"/>
  <c r="E12" i="6"/>
  <c r="F12" i="6"/>
  <c r="G12" i="6"/>
  <c r="H12" i="6"/>
  <c r="A13" i="6"/>
  <c r="B13" i="6"/>
  <c r="C13" i="6"/>
  <c r="D13" i="6"/>
  <c r="E13" i="6"/>
  <c r="F13" i="6"/>
  <c r="G13" i="6"/>
  <c r="H13" i="6"/>
  <c r="A14" i="6"/>
  <c r="B14" i="6"/>
  <c r="C14" i="6"/>
  <c r="D14" i="6"/>
  <c r="E14" i="6"/>
  <c r="F14" i="6"/>
  <c r="G14" i="6"/>
  <c r="H14" i="6"/>
  <c r="A15" i="6"/>
  <c r="C15" i="6"/>
  <c r="D15" i="6"/>
  <c r="E15" i="6"/>
  <c r="F15" i="6"/>
  <c r="G15" i="6"/>
  <c r="H15" i="6"/>
  <c r="A16" i="6"/>
  <c r="B16" i="6"/>
  <c r="C16" i="6"/>
  <c r="D16" i="6"/>
  <c r="E16" i="6"/>
  <c r="F16" i="6"/>
  <c r="G16" i="6"/>
  <c r="H16" i="6"/>
  <c r="A17" i="6"/>
  <c r="B17" i="6"/>
  <c r="C17" i="6"/>
  <c r="D17" i="6"/>
  <c r="E17" i="6"/>
  <c r="F17" i="6"/>
  <c r="G17" i="6"/>
  <c r="H17" i="6"/>
  <c r="A18" i="6"/>
  <c r="B18" i="6"/>
  <c r="C18" i="6"/>
  <c r="D18" i="6"/>
  <c r="E18" i="6"/>
  <c r="F18" i="6"/>
  <c r="G18" i="6"/>
  <c r="H18" i="6"/>
  <c r="A19" i="6"/>
  <c r="B19" i="6"/>
  <c r="C19" i="6"/>
  <c r="D19" i="6"/>
  <c r="E19" i="6"/>
  <c r="F19" i="6"/>
  <c r="G19" i="6"/>
  <c r="H19" i="6"/>
  <c r="A20" i="6"/>
  <c r="B20" i="6"/>
  <c r="C20" i="6"/>
  <c r="D20" i="6"/>
  <c r="E20" i="6"/>
  <c r="F20" i="6"/>
  <c r="G20" i="6"/>
  <c r="H20" i="6"/>
  <c r="A21" i="6"/>
  <c r="B21" i="6"/>
  <c r="C21" i="6"/>
  <c r="D21" i="6"/>
  <c r="E21" i="6"/>
  <c r="F21" i="6"/>
  <c r="G21" i="6"/>
  <c r="H21" i="6"/>
  <c r="A22" i="6"/>
  <c r="B22" i="6"/>
  <c r="C22" i="6"/>
  <c r="D22" i="6"/>
  <c r="E22" i="6"/>
  <c r="F22" i="6"/>
  <c r="G22" i="6"/>
  <c r="H22" i="6"/>
  <c r="A23" i="6"/>
  <c r="B23" i="6"/>
  <c r="C23" i="6"/>
  <c r="D23" i="6"/>
  <c r="E23" i="6"/>
  <c r="F23" i="6"/>
  <c r="G23" i="6"/>
  <c r="H23" i="6"/>
  <c r="A24" i="6"/>
  <c r="B24" i="6"/>
  <c r="C24" i="6"/>
  <c r="D24" i="6"/>
  <c r="E24" i="6"/>
  <c r="F24" i="6"/>
  <c r="G24" i="6"/>
  <c r="H24" i="6"/>
  <c r="A25" i="6"/>
  <c r="B25" i="6"/>
  <c r="C25" i="6"/>
  <c r="D25" i="6"/>
  <c r="E25" i="6"/>
  <c r="F25" i="6"/>
  <c r="G25" i="6"/>
  <c r="H25" i="6"/>
  <c r="A26" i="6"/>
  <c r="B26" i="6"/>
  <c r="C26" i="6"/>
  <c r="D26" i="6"/>
  <c r="E26" i="6"/>
  <c r="F26" i="6"/>
  <c r="G26" i="6"/>
  <c r="H26" i="6"/>
  <c r="A27" i="6"/>
  <c r="B27" i="6"/>
  <c r="C27" i="6"/>
  <c r="D27" i="6"/>
  <c r="E27" i="6"/>
  <c r="F27" i="6"/>
  <c r="G27" i="6"/>
  <c r="H27" i="6"/>
  <c r="A28" i="6"/>
  <c r="B28" i="6"/>
  <c r="C28" i="6"/>
  <c r="D28" i="6"/>
  <c r="E28" i="6"/>
  <c r="F28" i="6"/>
  <c r="G28" i="6"/>
  <c r="H28" i="6"/>
  <c r="A29" i="6"/>
  <c r="C29" i="6"/>
  <c r="D29" i="6"/>
  <c r="E29" i="6"/>
  <c r="F29" i="6"/>
  <c r="G29" i="6"/>
  <c r="H29" i="6"/>
  <c r="A30" i="6"/>
  <c r="B30" i="6"/>
  <c r="C30" i="6"/>
  <c r="D30" i="6"/>
  <c r="E30" i="6"/>
  <c r="F30" i="6"/>
  <c r="G30" i="6"/>
  <c r="H30" i="6"/>
  <c r="A31" i="6"/>
  <c r="C31" i="6"/>
  <c r="D31" i="6"/>
  <c r="E31" i="6"/>
  <c r="F31" i="6"/>
  <c r="G31" i="6"/>
  <c r="H31" i="6"/>
  <c r="A32" i="6"/>
  <c r="B32" i="6"/>
  <c r="C32" i="6"/>
  <c r="D32" i="6"/>
  <c r="E32" i="6"/>
  <c r="F32" i="6"/>
  <c r="G32" i="6"/>
  <c r="H32" i="6"/>
  <c r="A33" i="6"/>
  <c r="B33" i="6"/>
  <c r="C33" i="6"/>
  <c r="D33" i="6"/>
  <c r="E33" i="6"/>
  <c r="F33" i="6"/>
  <c r="G33" i="6"/>
  <c r="H33" i="6"/>
  <c r="A34" i="6"/>
  <c r="B34" i="6"/>
  <c r="C34" i="6"/>
  <c r="D34" i="6"/>
  <c r="E34" i="6"/>
  <c r="F34" i="6"/>
  <c r="G34" i="6"/>
  <c r="H34" i="6"/>
  <c r="A35" i="6"/>
  <c r="B35" i="6"/>
  <c r="C35" i="6"/>
  <c r="D35" i="6"/>
  <c r="E35" i="6"/>
  <c r="F35" i="6"/>
  <c r="G35" i="6"/>
  <c r="H35" i="6"/>
  <c r="A36" i="6"/>
  <c r="B36" i="6"/>
  <c r="C36" i="6"/>
  <c r="D36" i="6"/>
  <c r="E36" i="6"/>
  <c r="F36" i="6"/>
  <c r="G36" i="6"/>
  <c r="H36" i="6"/>
  <c r="A37" i="6"/>
  <c r="B37" i="6"/>
  <c r="C37" i="6"/>
  <c r="D37" i="6"/>
  <c r="E37" i="6"/>
  <c r="F37" i="6"/>
  <c r="G37" i="6"/>
  <c r="H37" i="6"/>
  <c r="A38" i="6"/>
  <c r="B38" i="6"/>
  <c r="C38" i="6"/>
  <c r="D38" i="6"/>
  <c r="E38" i="6"/>
  <c r="F38" i="6"/>
  <c r="G38" i="6"/>
  <c r="H38" i="6"/>
  <c r="A39" i="6"/>
  <c r="B39" i="6"/>
  <c r="C39" i="6"/>
  <c r="D39" i="6"/>
  <c r="E39" i="6"/>
  <c r="F39" i="6"/>
  <c r="G39" i="6"/>
  <c r="H39" i="6"/>
  <c r="A40" i="6"/>
  <c r="B40" i="6"/>
  <c r="C40" i="6"/>
  <c r="D40" i="6"/>
  <c r="E40" i="6"/>
  <c r="F40" i="6"/>
  <c r="G40" i="6"/>
  <c r="H40" i="6"/>
  <c r="A41" i="6"/>
  <c r="B41" i="6"/>
  <c r="C41" i="6"/>
  <c r="D41" i="6"/>
  <c r="E41" i="6"/>
  <c r="F41" i="6"/>
  <c r="G41" i="6"/>
  <c r="H41" i="6"/>
  <c r="A42" i="6"/>
  <c r="B42" i="6"/>
  <c r="C42" i="6"/>
  <c r="D42" i="6"/>
  <c r="E42" i="6"/>
  <c r="F42" i="6"/>
  <c r="G42" i="6"/>
  <c r="H42" i="6"/>
  <c r="A43" i="6"/>
  <c r="B43" i="6"/>
  <c r="C43" i="6"/>
  <c r="D43" i="6"/>
  <c r="E43" i="6"/>
  <c r="F43" i="6"/>
  <c r="G43" i="6"/>
  <c r="H43" i="6"/>
  <c r="A44" i="6"/>
  <c r="B44" i="6"/>
  <c r="C44" i="6"/>
  <c r="D44" i="6"/>
  <c r="E44" i="6"/>
  <c r="F44" i="6"/>
  <c r="G44" i="6"/>
  <c r="H44" i="6"/>
  <c r="A45" i="6"/>
  <c r="B45" i="6"/>
  <c r="C45" i="6"/>
  <c r="D45" i="6"/>
  <c r="E45" i="6"/>
  <c r="F45" i="6"/>
  <c r="G45" i="6"/>
  <c r="H45" i="6"/>
  <c r="A46" i="6"/>
  <c r="B46" i="6"/>
  <c r="C46" i="6"/>
  <c r="D46" i="6"/>
  <c r="E46" i="6"/>
  <c r="F46" i="6"/>
  <c r="G46" i="6"/>
  <c r="H46" i="6"/>
  <c r="A47" i="6"/>
  <c r="B47" i="6"/>
  <c r="C47" i="6"/>
  <c r="D47" i="6"/>
  <c r="E47" i="6"/>
  <c r="F47" i="6"/>
  <c r="G47" i="6"/>
  <c r="H47" i="6"/>
  <c r="A48" i="6"/>
  <c r="B48" i="6"/>
  <c r="C48" i="6"/>
  <c r="D48" i="6"/>
  <c r="E48" i="6"/>
  <c r="F48" i="6"/>
  <c r="G48" i="6"/>
  <c r="H48" i="6"/>
  <c r="A49" i="6"/>
  <c r="B49" i="6"/>
  <c r="C49" i="6"/>
  <c r="D49" i="6"/>
  <c r="E49" i="6"/>
  <c r="F49" i="6"/>
  <c r="G49" i="6"/>
  <c r="H49" i="6"/>
  <c r="A50" i="6"/>
  <c r="B50" i="6"/>
  <c r="C50" i="6"/>
  <c r="D50" i="6"/>
  <c r="E50" i="6"/>
  <c r="F50" i="6"/>
  <c r="G50" i="6"/>
  <c r="H50" i="6"/>
  <c r="A51" i="6"/>
  <c r="B51" i="6"/>
  <c r="C51" i="6"/>
  <c r="D51" i="6"/>
  <c r="E51" i="6"/>
  <c r="F51" i="6"/>
  <c r="G51" i="6"/>
  <c r="H51" i="6"/>
  <c r="A52" i="6"/>
  <c r="B52" i="6"/>
  <c r="C52" i="6"/>
  <c r="D52" i="6"/>
  <c r="E52" i="6"/>
  <c r="F52" i="6"/>
  <c r="G52" i="6"/>
  <c r="H52" i="6"/>
  <c r="A53" i="6"/>
  <c r="B53" i="6"/>
  <c r="C53" i="6"/>
  <c r="D53" i="6"/>
  <c r="E53" i="6"/>
  <c r="F53" i="6"/>
  <c r="G53" i="6"/>
  <c r="H53" i="6"/>
  <c r="A54" i="6"/>
  <c r="B54" i="6"/>
  <c r="C54" i="6"/>
  <c r="D54" i="6"/>
  <c r="E54" i="6"/>
  <c r="F54" i="6"/>
  <c r="G54" i="6"/>
  <c r="H54" i="6"/>
  <c r="A55" i="6"/>
  <c r="B55" i="6"/>
  <c r="C55" i="6"/>
  <c r="D55" i="6"/>
  <c r="E55" i="6"/>
  <c r="F55" i="6"/>
  <c r="G55" i="6"/>
  <c r="H55" i="6"/>
  <c r="A56" i="6"/>
  <c r="B56" i="6"/>
  <c r="C56" i="6"/>
  <c r="D56" i="6"/>
  <c r="E56" i="6"/>
  <c r="F56" i="6"/>
  <c r="G56" i="6"/>
  <c r="H56" i="6"/>
  <c r="A57" i="6"/>
  <c r="B57" i="6"/>
  <c r="C57" i="6"/>
  <c r="D57" i="6"/>
  <c r="E57" i="6"/>
  <c r="F57" i="6"/>
  <c r="G57" i="6"/>
  <c r="H57" i="6"/>
  <c r="A58" i="6"/>
  <c r="B58" i="6"/>
  <c r="C58" i="6"/>
  <c r="D58" i="6"/>
  <c r="E58" i="6"/>
  <c r="F58" i="6"/>
  <c r="G58" i="6"/>
  <c r="H58" i="6"/>
  <c r="A59" i="6"/>
  <c r="B59" i="6"/>
  <c r="C59" i="6"/>
  <c r="D59" i="6"/>
  <c r="E59" i="6"/>
  <c r="F59" i="6"/>
  <c r="G59" i="6"/>
  <c r="H59" i="6"/>
  <c r="A60" i="6"/>
  <c r="B60" i="6"/>
  <c r="C60" i="6"/>
  <c r="D60" i="6"/>
  <c r="E60" i="6"/>
  <c r="F60" i="6"/>
  <c r="G60" i="6"/>
  <c r="H60" i="6"/>
  <c r="A61" i="6"/>
  <c r="B61" i="6"/>
  <c r="C61" i="6"/>
  <c r="D61" i="6"/>
  <c r="E61" i="6"/>
  <c r="F61" i="6"/>
  <c r="G61" i="6"/>
  <c r="H61" i="6"/>
  <c r="A62" i="6"/>
  <c r="B62" i="6"/>
  <c r="C62" i="6"/>
  <c r="D62" i="6"/>
  <c r="E62" i="6"/>
  <c r="F62" i="6"/>
  <c r="G62" i="6"/>
  <c r="H62" i="6"/>
  <c r="A63" i="6"/>
  <c r="B63" i="6"/>
  <c r="C63" i="6"/>
  <c r="D63" i="6"/>
  <c r="E63" i="6"/>
  <c r="F63" i="6"/>
  <c r="G63" i="6"/>
  <c r="H63" i="6"/>
  <c r="A64" i="6"/>
  <c r="B64" i="6"/>
  <c r="C64" i="6"/>
  <c r="D64" i="6"/>
  <c r="E64" i="6"/>
  <c r="F64" i="6"/>
  <c r="G64" i="6"/>
  <c r="H64" i="6"/>
  <c r="A65" i="6"/>
  <c r="B65" i="6"/>
  <c r="C65" i="6"/>
  <c r="D65" i="6"/>
  <c r="E65" i="6"/>
  <c r="F65" i="6"/>
  <c r="G65" i="6"/>
  <c r="H65" i="6"/>
  <c r="A66" i="6"/>
  <c r="B66" i="6"/>
  <c r="C66" i="6"/>
  <c r="D66" i="6"/>
  <c r="E66" i="6"/>
  <c r="F66" i="6"/>
  <c r="G66" i="6"/>
  <c r="H66" i="6"/>
  <c r="A67" i="6"/>
  <c r="B67" i="6"/>
  <c r="C67" i="6"/>
  <c r="D67" i="6"/>
  <c r="E67" i="6"/>
  <c r="F67" i="6"/>
  <c r="G67" i="6"/>
  <c r="H67" i="6"/>
  <c r="A68" i="6"/>
  <c r="B68" i="6"/>
  <c r="C68" i="6"/>
  <c r="D68" i="6"/>
  <c r="E68" i="6"/>
  <c r="F68" i="6"/>
  <c r="G68" i="6"/>
  <c r="H68" i="6"/>
  <c r="A69" i="6"/>
  <c r="B69" i="6"/>
  <c r="C69" i="6"/>
  <c r="D69" i="6"/>
  <c r="E69" i="6"/>
  <c r="F69" i="6"/>
  <c r="G69" i="6"/>
  <c r="H69" i="6"/>
  <c r="A70" i="6"/>
  <c r="B70" i="6"/>
  <c r="C70" i="6"/>
  <c r="D70" i="6"/>
  <c r="E70" i="6"/>
  <c r="F70" i="6"/>
  <c r="G70" i="6"/>
  <c r="H70" i="6"/>
  <c r="A71" i="6"/>
  <c r="B71" i="6"/>
  <c r="C71" i="6"/>
  <c r="D71" i="6"/>
  <c r="E71" i="6"/>
  <c r="F71" i="6"/>
  <c r="G71" i="6"/>
  <c r="H71" i="6"/>
  <c r="A72" i="6"/>
  <c r="B72" i="6"/>
  <c r="C72" i="6"/>
  <c r="D72" i="6"/>
  <c r="E72" i="6"/>
  <c r="F72" i="6"/>
  <c r="G72" i="6"/>
  <c r="H72" i="6"/>
  <c r="A73" i="6"/>
  <c r="B73" i="6"/>
  <c r="C73" i="6"/>
  <c r="D73" i="6"/>
  <c r="E73" i="6"/>
  <c r="F73" i="6"/>
  <c r="G73" i="6"/>
  <c r="H73" i="6"/>
  <c r="A74" i="6"/>
  <c r="B74" i="6"/>
  <c r="C74" i="6"/>
  <c r="D74" i="6"/>
  <c r="E74" i="6"/>
  <c r="F74" i="6"/>
  <c r="G74" i="6"/>
  <c r="H74" i="6"/>
  <c r="A75" i="6"/>
  <c r="B75" i="6"/>
  <c r="C75" i="6"/>
  <c r="D75" i="6"/>
  <c r="E75" i="6"/>
  <c r="F75" i="6"/>
  <c r="G75" i="6"/>
  <c r="H75" i="6"/>
  <c r="A76" i="6"/>
  <c r="B76" i="6"/>
  <c r="C76" i="6"/>
  <c r="D76" i="6"/>
  <c r="E76" i="6"/>
  <c r="F76" i="6"/>
  <c r="G76" i="6"/>
  <c r="H76" i="6"/>
  <c r="A77" i="6"/>
  <c r="B77" i="6"/>
  <c r="C77" i="6"/>
  <c r="D77" i="6"/>
  <c r="E77" i="6"/>
  <c r="F77" i="6"/>
  <c r="G77" i="6"/>
  <c r="H77" i="6"/>
  <c r="A78" i="6"/>
  <c r="B78" i="6"/>
  <c r="C78" i="6"/>
  <c r="D78" i="6"/>
  <c r="E78" i="6"/>
  <c r="F78" i="6"/>
  <c r="G78" i="6"/>
  <c r="H78" i="6"/>
  <c r="A79" i="6"/>
  <c r="B79" i="6"/>
  <c r="C79" i="6"/>
  <c r="D79" i="6"/>
  <c r="E79" i="6"/>
  <c r="F79" i="6"/>
  <c r="G79" i="6"/>
  <c r="H79" i="6"/>
  <c r="A80" i="6"/>
  <c r="B80" i="6"/>
  <c r="C80" i="6"/>
  <c r="D80" i="6"/>
  <c r="E80" i="6"/>
  <c r="F80" i="6"/>
  <c r="G80" i="6"/>
  <c r="H80" i="6"/>
  <c r="A81" i="6"/>
  <c r="B81" i="6"/>
  <c r="C81" i="6"/>
  <c r="D81" i="6"/>
  <c r="E81" i="6"/>
  <c r="F81" i="6"/>
  <c r="G81" i="6"/>
  <c r="H81" i="6"/>
  <c r="A82" i="6"/>
  <c r="B82" i="6"/>
  <c r="C82" i="6"/>
  <c r="D82" i="6"/>
  <c r="E82" i="6"/>
  <c r="F82" i="6"/>
  <c r="G82" i="6"/>
  <c r="H82" i="6"/>
  <c r="A83" i="6"/>
  <c r="B83" i="6"/>
  <c r="C83" i="6"/>
  <c r="D83" i="6"/>
  <c r="E83" i="6"/>
  <c r="F83" i="6"/>
  <c r="G83" i="6"/>
  <c r="H83" i="6"/>
  <c r="A84" i="6"/>
  <c r="B84" i="6"/>
  <c r="C84" i="6"/>
  <c r="D84" i="6"/>
  <c r="E84" i="6"/>
  <c r="F84" i="6"/>
  <c r="G84" i="6"/>
  <c r="H84" i="6"/>
  <c r="A85" i="6"/>
  <c r="B85" i="6"/>
  <c r="C85" i="6"/>
  <c r="D85" i="6"/>
  <c r="E85" i="6"/>
  <c r="F85" i="6"/>
  <c r="G85" i="6"/>
  <c r="H85" i="6"/>
  <c r="A86" i="6"/>
  <c r="B86" i="6"/>
  <c r="C86" i="6"/>
  <c r="D86" i="6"/>
  <c r="E86" i="6"/>
  <c r="F86" i="6"/>
  <c r="G86" i="6"/>
  <c r="H86" i="6"/>
  <c r="A87" i="6"/>
  <c r="B87" i="6"/>
  <c r="C87" i="6"/>
  <c r="D87" i="6"/>
  <c r="E87" i="6"/>
  <c r="F87" i="6"/>
  <c r="G87" i="6"/>
  <c r="H87" i="6"/>
  <c r="A88" i="6"/>
  <c r="B88" i="6"/>
  <c r="C88" i="6"/>
  <c r="D88" i="6"/>
  <c r="E88" i="6"/>
  <c r="F88" i="6"/>
  <c r="G88" i="6"/>
  <c r="H88" i="6"/>
  <c r="A89" i="6"/>
  <c r="B89" i="6"/>
  <c r="C89" i="6"/>
  <c r="D89" i="6"/>
  <c r="E89" i="6"/>
  <c r="F89" i="6"/>
  <c r="G89" i="6"/>
  <c r="H89" i="6"/>
  <c r="A90" i="6"/>
  <c r="B90" i="6"/>
  <c r="C90" i="6"/>
  <c r="D90" i="6"/>
  <c r="E90" i="6"/>
  <c r="F90" i="6"/>
  <c r="G90" i="6"/>
  <c r="H90" i="6"/>
  <c r="A91" i="6"/>
  <c r="B91" i="6"/>
  <c r="C91" i="6"/>
  <c r="D91" i="6"/>
  <c r="E91" i="6"/>
  <c r="F91" i="6"/>
  <c r="G91" i="6"/>
  <c r="H91" i="6"/>
  <c r="A92" i="6"/>
  <c r="B92" i="6"/>
  <c r="C92" i="6"/>
  <c r="D92" i="6"/>
  <c r="E92" i="6"/>
  <c r="F92" i="6"/>
  <c r="G92" i="6"/>
  <c r="H92" i="6"/>
  <c r="A93" i="6"/>
  <c r="B93" i="6"/>
  <c r="C93" i="6"/>
  <c r="D93" i="6"/>
  <c r="E93" i="6"/>
  <c r="F93" i="6"/>
  <c r="G93" i="6"/>
  <c r="H93" i="6"/>
  <c r="A94" i="6"/>
  <c r="B94" i="6"/>
  <c r="C94" i="6"/>
  <c r="D94" i="6"/>
  <c r="E94" i="6"/>
  <c r="F94" i="6"/>
  <c r="G94" i="6"/>
  <c r="H94" i="6"/>
  <c r="A95" i="6"/>
  <c r="B95" i="6"/>
  <c r="C95" i="6"/>
  <c r="D95" i="6"/>
  <c r="E95" i="6"/>
  <c r="F95" i="6"/>
  <c r="G95" i="6"/>
  <c r="H95" i="6"/>
  <c r="A96" i="6"/>
  <c r="B96" i="6"/>
  <c r="C96" i="6"/>
  <c r="D96" i="6"/>
  <c r="E96" i="6"/>
  <c r="F96" i="6"/>
  <c r="G96" i="6"/>
  <c r="H96" i="6"/>
  <c r="A97" i="6"/>
  <c r="B97" i="6"/>
  <c r="C97" i="6"/>
  <c r="D97" i="6"/>
  <c r="E97" i="6"/>
  <c r="F97" i="6"/>
  <c r="G97" i="6"/>
  <c r="H97" i="6"/>
  <c r="A98" i="6"/>
  <c r="B98" i="6"/>
  <c r="C98" i="6"/>
  <c r="D98" i="6"/>
  <c r="E98" i="6"/>
  <c r="F98" i="6"/>
  <c r="G98" i="6"/>
  <c r="H98" i="6"/>
  <c r="A99" i="6"/>
  <c r="B99" i="6"/>
  <c r="C99" i="6"/>
  <c r="D99" i="6"/>
  <c r="E99" i="6"/>
  <c r="F99" i="6"/>
  <c r="G99" i="6"/>
  <c r="H99" i="6"/>
  <c r="A100" i="6"/>
  <c r="B100" i="6"/>
  <c r="C100" i="6"/>
  <c r="D100" i="6"/>
  <c r="E100" i="6"/>
  <c r="F100" i="6"/>
  <c r="G100" i="6"/>
  <c r="H100" i="6"/>
  <c r="A101" i="6"/>
  <c r="B101" i="6"/>
  <c r="C101" i="6"/>
  <c r="D101" i="6"/>
  <c r="E101" i="6"/>
  <c r="F101" i="6"/>
  <c r="G101" i="6"/>
  <c r="H101" i="6"/>
  <c r="A102" i="6"/>
  <c r="B102" i="6"/>
  <c r="C102" i="6"/>
  <c r="D102" i="6"/>
  <c r="E102" i="6"/>
  <c r="F102" i="6"/>
  <c r="G102" i="6"/>
  <c r="H102" i="6"/>
  <c r="A103" i="6"/>
  <c r="B103" i="6"/>
  <c r="C103" i="6"/>
  <c r="D103" i="6"/>
  <c r="E103" i="6"/>
  <c r="F103" i="6"/>
  <c r="G103" i="6"/>
  <c r="H103" i="6"/>
  <c r="A104" i="6"/>
  <c r="B104" i="6"/>
  <c r="C104" i="6"/>
  <c r="D104" i="6"/>
  <c r="E104" i="6"/>
  <c r="F104" i="6"/>
  <c r="G104" i="6"/>
  <c r="H104" i="6"/>
  <c r="A105" i="6"/>
  <c r="B105" i="6"/>
  <c r="C105" i="6"/>
  <c r="D105" i="6"/>
  <c r="E105" i="6"/>
  <c r="F105" i="6"/>
  <c r="G105" i="6"/>
  <c r="H105" i="6"/>
  <c r="A106" i="6"/>
  <c r="B106" i="6"/>
  <c r="C106" i="6"/>
  <c r="D106" i="6"/>
  <c r="E106" i="6"/>
  <c r="F106" i="6"/>
  <c r="G106" i="6"/>
  <c r="H106" i="6"/>
  <c r="A107" i="6"/>
  <c r="B107" i="6"/>
  <c r="C107" i="6"/>
  <c r="D107" i="6"/>
  <c r="E107" i="6"/>
  <c r="F107" i="6"/>
  <c r="G107" i="6"/>
  <c r="H107" i="6"/>
  <c r="A108" i="6"/>
  <c r="B108" i="6"/>
  <c r="C108" i="6"/>
  <c r="D108" i="6"/>
  <c r="E108" i="6"/>
  <c r="F108" i="6"/>
  <c r="G108" i="6"/>
  <c r="H108" i="6"/>
  <c r="A109" i="6"/>
  <c r="B109" i="6"/>
  <c r="C109" i="6"/>
  <c r="D109" i="6"/>
  <c r="E109" i="6"/>
  <c r="F109" i="6"/>
  <c r="G109" i="6"/>
  <c r="H109" i="6"/>
  <c r="A110" i="6"/>
  <c r="B110" i="6"/>
  <c r="C110" i="6"/>
  <c r="D110" i="6"/>
  <c r="E110" i="6"/>
  <c r="F110" i="6"/>
  <c r="G110" i="6"/>
  <c r="H110" i="6"/>
  <c r="A111" i="6"/>
  <c r="B111" i="6"/>
  <c r="C111" i="6"/>
  <c r="D111" i="6"/>
  <c r="E111" i="6"/>
  <c r="F111" i="6"/>
  <c r="G111" i="6"/>
  <c r="H111" i="6"/>
  <c r="A112" i="6"/>
  <c r="B112" i="6"/>
  <c r="C112" i="6"/>
  <c r="D112" i="6"/>
  <c r="E112" i="6"/>
  <c r="F112" i="6"/>
  <c r="G112" i="6"/>
  <c r="H112" i="6"/>
  <c r="A113" i="6"/>
  <c r="B113" i="6"/>
  <c r="C113" i="6"/>
  <c r="D113" i="6"/>
  <c r="E113" i="6"/>
  <c r="F113" i="6"/>
  <c r="G113" i="6"/>
  <c r="H113" i="6"/>
  <c r="A114" i="6"/>
  <c r="B114" i="6"/>
  <c r="C114" i="6"/>
  <c r="D114" i="6"/>
  <c r="E114" i="6"/>
  <c r="F114" i="6"/>
  <c r="G114" i="6"/>
  <c r="H114" i="6"/>
  <c r="A115" i="6"/>
  <c r="B115" i="6"/>
  <c r="C115" i="6"/>
  <c r="D115" i="6"/>
  <c r="E115" i="6"/>
  <c r="F115" i="6"/>
  <c r="G115" i="6"/>
  <c r="H115" i="6"/>
  <c r="A116" i="6"/>
  <c r="B116" i="6"/>
  <c r="C116" i="6"/>
  <c r="D116" i="6"/>
  <c r="E116" i="6"/>
  <c r="F116" i="6"/>
  <c r="G116" i="6"/>
  <c r="H116" i="6"/>
  <c r="A117" i="6"/>
  <c r="B117" i="6"/>
  <c r="C117" i="6"/>
  <c r="D117" i="6"/>
  <c r="E117" i="6"/>
  <c r="F117" i="6"/>
  <c r="G117" i="6"/>
  <c r="H117" i="6"/>
  <c r="A118" i="6"/>
  <c r="B118" i="6"/>
  <c r="C118" i="6"/>
  <c r="D118" i="6"/>
  <c r="E118" i="6"/>
  <c r="F118" i="6"/>
  <c r="G118" i="6"/>
  <c r="H118" i="6"/>
  <c r="A119" i="6"/>
  <c r="B119" i="6"/>
  <c r="C119" i="6"/>
  <c r="D119" i="6"/>
  <c r="E119" i="6"/>
  <c r="F119" i="6"/>
  <c r="G119" i="6"/>
  <c r="H119" i="6"/>
  <c r="A120" i="6"/>
  <c r="B120" i="6"/>
  <c r="C120" i="6"/>
  <c r="D120" i="6"/>
  <c r="E120" i="6"/>
  <c r="F120" i="6"/>
  <c r="G120" i="6"/>
  <c r="H120" i="6"/>
  <c r="A121" i="6"/>
  <c r="B121" i="6"/>
  <c r="C121" i="6"/>
  <c r="D121" i="6"/>
  <c r="E121" i="6"/>
  <c r="F121" i="6"/>
  <c r="G121" i="6"/>
  <c r="H121" i="6"/>
  <c r="A122" i="6"/>
  <c r="B122" i="6"/>
  <c r="C122" i="6"/>
  <c r="D122" i="6"/>
  <c r="E122" i="6"/>
  <c r="F122" i="6"/>
  <c r="G122" i="6"/>
  <c r="H122" i="6"/>
  <c r="A123" i="6"/>
  <c r="B123" i="6"/>
  <c r="C123" i="6"/>
  <c r="D123" i="6"/>
  <c r="E123" i="6"/>
  <c r="F123" i="6"/>
  <c r="G123" i="6"/>
  <c r="H123" i="6"/>
  <c r="A124" i="6"/>
  <c r="B124" i="6"/>
  <c r="C124" i="6"/>
  <c r="D124" i="6"/>
  <c r="E124" i="6"/>
  <c r="F124" i="6"/>
  <c r="G124" i="6"/>
  <c r="H124" i="6"/>
  <c r="A125" i="6"/>
  <c r="B125" i="6"/>
  <c r="C125" i="6"/>
  <c r="D125" i="6"/>
  <c r="E125" i="6"/>
  <c r="F125" i="6"/>
  <c r="G125" i="6"/>
  <c r="H125" i="6"/>
  <c r="A126" i="6"/>
  <c r="B126" i="6"/>
  <c r="C126" i="6"/>
  <c r="D126" i="6"/>
  <c r="E126" i="6"/>
  <c r="F126" i="6"/>
  <c r="G126" i="6"/>
  <c r="H126" i="6"/>
  <c r="A127" i="6"/>
  <c r="B127" i="6"/>
  <c r="C127" i="6"/>
  <c r="D127" i="6"/>
  <c r="E127" i="6"/>
  <c r="F127" i="6"/>
  <c r="G127" i="6"/>
  <c r="H127" i="6"/>
  <c r="A128" i="6"/>
  <c r="B128" i="6"/>
  <c r="C128" i="6"/>
  <c r="D128" i="6"/>
  <c r="E128" i="6"/>
  <c r="F128" i="6"/>
  <c r="G128" i="6"/>
  <c r="H128" i="6"/>
  <c r="A129" i="6"/>
  <c r="B129" i="6"/>
  <c r="C129" i="6"/>
  <c r="D129" i="6"/>
  <c r="E129" i="6"/>
  <c r="F129" i="6"/>
  <c r="G129" i="6"/>
  <c r="H129" i="6"/>
  <c r="A130" i="6"/>
  <c r="B130" i="6"/>
  <c r="C130" i="6"/>
  <c r="D130" i="6"/>
  <c r="E130" i="6"/>
  <c r="F130" i="6"/>
  <c r="G130" i="6"/>
  <c r="H130" i="6"/>
  <c r="A131" i="6"/>
  <c r="B131" i="6"/>
  <c r="C131" i="6"/>
  <c r="D131" i="6"/>
  <c r="E131" i="6"/>
  <c r="F131" i="6"/>
  <c r="G131" i="6"/>
  <c r="H131" i="6"/>
  <c r="A132" i="6"/>
  <c r="B132" i="6"/>
  <c r="C132" i="6"/>
  <c r="D132" i="6"/>
  <c r="E132" i="6"/>
  <c r="F132" i="6"/>
  <c r="G132" i="6"/>
  <c r="H132" i="6"/>
  <c r="A133" i="6"/>
  <c r="B133" i="6"/>
  <c r="C133" i="6"/>
  <c r="D133" i="6"/>
  <c r="E133" i="6"/>
  <c r="F133" i="6"/>
  <c r="G133" i="6"/>
  <c r="H133" i="6"/>
  <c r="A134" i="6"/>
  <c r="B134" i="6"/>
  <c r="C134" i="6"/>
  <c r="D134" i="6"/>
  <c r="E134" i="6"/>
  <c r="F134" i="6"/>
  <c r="G134" i="6"/>
  <c r="H134" i="6"/>
  <c r="A135" i="6"/>
  <c r="B135" i="6"/>
  <c r="C135" i="6"/>
  <c r="D135" i="6"/>
  <c r="E135" i="6"/>
  <c r="F135" i="6"/>
  <c r="G135" i="6"/>
  <c r="H135" i="6"/>
  <c r="A136" i="6"/>
  <c r="B136" i="6"/>
  <c r="C136" i="6"/>
  <c r="D136" i="6"/>
  <c r="E136" i="6"/>
  <c r="F136" i="6"/>
  <c r="G136" i="6"/>
  <c r="H136" i="6"/>
  <c r="A137" i="6"/>
  <c r="B137" i="6"/>
  <c r="C137" i="6"/>
  <c r="D137" i="6"/>
  <c r="E137" i="6"/>
  <c r="F137" i="6"/>
  <c r="G137" i="6"/>
  <c r="H137" i="6"/>
  <c r="A138" i="6"/>
  <c r="B138" i="6"/>
  <c r="C138" i="6"/>
  <c r="D138" i="6"/>
  <c r="E138" i="6"/>
  <c r="F138" i="6"/>
  <c r="G138" i="6"/>
  <c r="H138" i="6"/>
  <c r="A139" i="6"/>
  <c r="B139" i="6"/>
  <c r="C139" i="6"/>
  <c r="D139" i="6"/>
  <c r="E139" i="6"/>
  <c r="F139" i="6"/>
  <c r="G139" i="6"/>
  <c r="H139" i="6"/>
  <c r="A140" i="6"/>
  <c r="B140" i="6"/>
  <c r="C140" i="6"/>
  <c r="D140" i="6"/>
  <c r="E140" i="6"/>
  <c r="F140" i="6"/>
  <c r="G140" i="6"/>
  <c r="H140" i="6"/>
  <c r="A141" i="6"/>
  <c r="C141" i="6"/>
  <c r="D141" i="6"/>
  <c r="E141" i="6"/>
  <c r="F141" i="6"/>
  <c r="G141" i="6"/>
  <c r="H141" i="6"/>
  <c r="A142" i="6"/>
  <c r="B142" i="6"/>
  <c r="C142" i="6"/>
  <c r="D142" i="6"/>
  <c r="E142" i="6"/>
  <c r="F142" i="6"/>
  <c r="G142" i="6"/>
  <c r="H142" i="6"/>
  <c r="A143" i="6"/>
  <c r="B143" i="6"/>
  <c r="C143" i="6"/>
  <c r="D143" i="6"/>
  <c r="E143" i="6"/>
  <c r="F143" i="6"/>
  <c r="G143" i="6"/>
  <c r="H143" i="6"/>
  <c r="A144" i="6"/>
  <c r="B144" i="6"/>
  <c r="C144" i="6"/>
  <c r="D144" i="6"/>
  <c r="E144" i="6"/>
  <c r="F144" i="6"/>
  <c r="G144" i="6"/>
  <c r="H144" i="6"/>
  <c r="A145" i="6"/>
  <c r="B145" i="6"/>
  <c r="C145" i="6"/>
  <c r="D145" i="6"/>
  <c r="E145" i="6"/>
  <c r="F145" i="6"/>
  <c r="G145" i="6"/>
  <c r="H145" i="6"/>
  <c r="A146" i="6"/>
  <c r="B146" i="6"/>
  <c r="C146" i="6"/>
  <c r="D146" i="6"/>
  <c r="E146" i="6"/>
  <c r="F146" i="6"/>
  <c r="G146" i="6"/>
  <c r="H146" i="6"/>
  <c r="A147" i="6"/>
  <c r="B147" i="6"/>
  <c r="C147" i="6"/>
  <c r="D147" i="6"/>
  <c r="E147" i="6"/>
  <c r="F147" i="6"/>
  <c r="G147" i="6"/>
  <c r="H147" i="6"/>
  <c r="A148" i="6"/>
  <c r="B148" i="6"/>
  <c r="C148" i="6"/>
  <c r="D148" i="6"/>
  <c r="E148" i="6"/>
  <c r="F148" i="6"/>
  <c r="G148" i="6"/>
  <c r="H148" i="6"/>
  <c r="A149" i="6"/>
  <c r="B149" i="6"/>
  <c r="C149" i="6"/>
  <c r="D149" i="6"/>
  <c r="E149" i="6"/>
  <c r="F149" i="6"/>
  <c r="G149" i="6"/>
  <c r="H149" i="6"/>
  <c r="A150" i="6"/>
  <c r="B150" i="6"/>
  <c r="C150" i="6"/>
  <c r="D150" i="6"/>
  <c r="E150" i="6"/>
  <c r="F150" i="6"/>
  <c r="G150" i="6"/>
  <c r="H150" i="6"/>
  <c r="A151" i="6"/>
  <c r="B151" i="6"/>
  <c r="C151" i="6"/>
  <c r="D151" i="6"/>
  <c r="E151" i="6"/>
  <c r="F151" i="6"/>
  <c r="G151" i="6"/>
  <c r="H151" i="6"/>
  <c r="A152" i="6"/>
  <c r="B152" i="6"/>
  <c r="C152" i="6"/>
  <c r="D152" i="6"/>
  <c r="E152" i="6"/>
  <c r="F152" i="6"/>
  <c r="G152" i="6"/>
  <c r="H152" i="6"/>
  <c r="A153" i="6"/>
  <c r="C153" i="6"/>
  <c r="D153" i="6"/>
  <c r="E153" i="6"/>
  <c r="F153" i="6"/>
  <c r="G153" i="6"/>
  <c r="H153" i="6"/>
  <c r="A154" i="6"/>
  <c r="C154" i="6"/>
  <c r="D154" i="6"/>
  <c r="E154" i="6"/>
  <c r="F154" i="6"/>
  <c r="G154" i="6"/>
  <c r="H154" i="6"/>
  <c r="A155" i="6"/>
  <c r="B155" i="6"/>
  <c r="D155" i="6"/>
  <c r="E155" i="6"/>
  <c r="F155" i="6"/>
  <c r="G155" i="6"/>
  <c r="H155" i="6"/>
  <c r="A156" i="6"/>
  <c r="B156" i="6"/>
  <c r="C156" i="6"/>
  <c r="D156" i="6"/>
  <c r="E156" i="6"/>
  <c r="F156" i="6"/>
  <c r="G156" i="6"/>
  <c r="H156" i="6"/>
  <c r="A157" i="6"/>
  <c r="B157" i="6"/>
  <c r="C157" i="6"/>
  <c r="D157" i="6"/>
  <c r="E157" i="6"/>
  <c r="F157" i="6"/>
  <c r="G157" i="6"/>
  <c r="H157" i="6"/>
  <c r="A158" i="6"/>
  <c r="B158" i="6"/>
  <c r="C158" i="6"/>
  <c r="D158" i="6"/>
  <c r="E158" i="6"/>
  <c r="F158" i="6"/>
  <c r="G158" i="6"/>
  <c r="H158" i="6"/>
  <c r="A159" i="6"/>
  <c r="B159" i="6"/>
  <c r="C159" i="6"/>
  <c r="D159" i="6"/>
  <c r="E159" i="6"/>
  <c r="F159" i="6"/>
  <c r="G159" i="6"/>
  <c r="H159" i="6"/>
  <c r="A160" i="6"/>
  <c r="B160" i="6"/>
  <c r="C160" i="6"/>
  <c r="D160" i="6"/>
  <c r="E160" i="6"/>
  <c r="F160" i="6"/>
  <c r="G160" i="6"/>
  <c r="H160" i="6"/>
  <c r="A161" i="6"/>
  <c r="B161" i="6"/>
  <c r="C161" i="6"/>
  <c r="D161" i="6"/>
  <c r="E161" i="6"/>
  <c r="F161" i="6"/>
  <c r="G161" i="6"/>
  <c r="H161" i="6"/>
  <c r="A162" i="6"/>
  <c r="B162" i="6"/>
  <c r="C162" i="6"/>
  <c r="D162" i="6"/>
  <c r="E162" i="6"/>
  <c r="F162" i="6"/>
  <c r="G162" i="6"/>
  <c r="H162" i="6"/>
  <c r="A163" i="6"/>
  <c r="B163" i="6"/>
  <c r="C163" i="6"/>
  <c r="D163" i="6"/>
  <c r="E163" i="6"/>
  <c r="F163" i="6"/>
  <c r="G163" i="6"/>
  <c r="H163" i="6"/>
  <c r="A164" i="6"/>
  <c r="B164" i="6"/>
  <c r="C164" i="6"/>
  <c r="D164" i="6"/>
  <c r="E164" i="6"/>
  <c r="F164" i="6"/>
  <c r="G164" i="6"/>
  <c r="H164" i="6"/>
  <c r="A165" i="6"/>
  <c r="B165" i="6"/>
  <c r="C165" i="6"/>
  <c r="D165" i="6"/>
  <c r="E165" i="6"/>
  <c r="F165" i="6"/>
  <c r="G165" i="6"/>
  <c r="H165" i="6"/>
  <c r="A166" i="6"/>
  <c r="B166" i="6"/>
  <c r="C166" i="6"/>
  <c r="D166" i="6"/>
  <c r="E166" i="6"/>
  <c r="F166" i="6"/>
  <c r="G166" i="6"/>
  <c r="H166" i="6"/>
  <c r="A167" i="6"/>
  <c r="B167" i="6"/>
  <c r="C167" i="6"/>
  <c r="D167" i="6"/>
  <c r="E167" i="6"/>
  <c r="F167" i="6"/>
  <c r="G167" i="6"/>
  <c r="H167" i="6"/>
  <c r="A168" i="6"/>
  <c r="B168" i="6"/>
  <c r="C168" i="6"/>
  <c r="D168" i="6"/>
  <c r="E168" i="6"/>
  <c r="F168" i="6"/>
  <c r="G168" i="6"/>
  <c r="H168" i="6"/>
  <c r="A169" i="6"/>
  <c r="B169" i="6"/>
  <c r="C169" i="6"/>
  <c r="D169" i="6"/>
  <c r="E169" i="6"/>
  <c r="F169" i="6"/>
  <c r="G169" i="6"/>
  <c r="H169" i="6"/>
  <c r="A170" i="6"/>
  <c r="B170" i="6"/>
  <c r="C170" i="6"/>
  <c r="D170" i="6"/>
  <c r="E170" i="6"/>
  <c r="F170" i="6"/>
  <c r="G170" i="6"/>
  <c r="H170" i="6"/>
  <c r="A171" i="6"/>
  <c r="B171" i="6"/>
  <c r="C171" i="6"/>
  <c r="D171" i="6"/>
  <c r="E171" i="6"/>
  <c r="F171" i="6"/>
  <c r="G171" i="6"/>
  <c r="H171" i="6"/>
  <c r="A172" i="6"/>
  <c r="B172" i="6"/>
  <c r="C172" i="6"/>
  <c r="D172" i="6"/>
  <c r="E172" i="6"/>
  <c r="F172" i="6"/>
  <c r="G172" i="6"/>
  <c r="H172" i="6"/>
  <c r="A173" i="6"/>
  <c r="B173" i="6"/>
  <c r="C173" i="6"/>
  <c r="D173" i="6"/>
  <c r="E173" i="6"/>
  <c r="F173" i="6"/>
  <c r="G173" i="6"/>
  <c r="H173" i="6"/>
  <c r="A174" i="6"/>
  <c r="B174" i="6"/>
  <c r="C174" i="6"/>
  <c r="D174" i="6"/>
  <c r="E174" i="6"/>
  <c r="F174" i="6"/>
  <c r="G174" i="6"/>
  <c r="H174" i="6"/>
  <c r="A175" i="6"/>
  <c r="B175" i="6"/>
  <c r="C175" i="6"/>
  <c r="D175" i="6"/>
  <c r="E175" i="6"/>
  <c r="F175" i="6"/>
  <c r="G175" i="6"/>
  <c r="H175" i="6"/>
  <c r="A176" i="6"/>
  <c r="B176" i="6"/>
  <c r="C176" i="6"/>
  <c r="D176" i="6"/>
  <c r="E176" i="6"/>
  <c r="F176" i="6"/>
  <c r="G176" i="6"/>
  <c r="H176" i="6"/>
  <c r="A177" i="6"/>
  <c r="B177" i="6"/>
  <c r="C177" i="6"/>
  <c r="D177" i="6"/>
  <c r="E177" i="6"/>
  <c r="F177" i="6"/>
  <c r="G177" i="6"/>
  <c r="H177" i="6"/>
  <c r="A178" i="6"/>
  <c r="B178" i="6"/>
  <c r="C178" i="6"/>
  <c r="D178" i="6"/>
  <c r="E178" i="6"/>
  <c r="F178" i="6"/>
  <c r="G178" i="6"/>
  <c r="H178" i="6"/>
  <c r="A179" i="6"/>
  <c r="B179" i="6"/>
  <c r="C179" i="6"/>
  <c r="D179" i="6"/>
  <c r="E179" i="6"/>
  <c r="F179" i="6"/>
  <c r="G179" i="6"/>
  <c r="H179" i="6"/>
  <c r="A180" i="6"/>
  <c r="B180" i="6"/>
  <c r="C180" i="6"/>
  <c r="D180" i="6"/>
  <c r="E180" i="6"/>
  <c r="F180" i="6"/>
  <c r="G180" i="6"/>
  <c r="H180" i="6"/>
  <c r="A181" i="6"/>
  <c r="B181" i="6"/>
  <c r="C181" i="6"/>
  <c r="D181" i="6"/>
  <c r="E181" i="6"/>
  <c r="F181" i="6"/>
  <c r="G181" i="6"/>
  <c r="H181" i="6"/>
  <c r="A182" i="6"/>
  <c r="B182" i="6"/>
  <c r="C182" i="6"/>
  <c r="D182" i="6"/>
  <c r="E182" i="6"/>
  <c r="F182" i="6"/>
  <c r="G182" i="6"/>
  <c r="H182" i="6"/>
  <c r="A183" i="6"/>
  <c r="B183" i="6"/>
  <c r="C183" i="6"/>
  <c r="D183" i="6"/>
  <c r="E183" i="6"/>
  <c r="F183" i="6"/>
  <c r="G183" i="6"/>
  <c r="H183" i="6"/>
  <c r="A184" i="6"/>
  <c r="B184" i="6"/>
  <c r="C184" i="6"/>
  <c r="D184" i="6"/>
  <c r="E184" i="6"/>
  <c r="F184" i="6"/>
  <c r="G184" i="6"/>
  <c r="H184" i="6"/>
  <c r="A185" i="6"/>
  <c r="B185" i="6"/>
  <c r="C185" i="6"/>
  <c r="D185" i="6"/>
  <c r="E185" i="6"/>
  <c r="F185" i="6"/>
  <c r="G185" i="6"/>
  <c r="H185" i="6"/>
  <c r="A186" i="6"/>
  <c r="B186" i="6"/>
  <c r="C186" i="6"/>
  <c r="D186" i="6"/>
  <c r="E186" i="6"/>
  <c r="F186" i="6"/>
  <c r="G186" i="6"/>
  <c r="H186" i="6"/>
  <c r="A187" i="6"/>
  <c r="B187" i="6"/>
  <c r="C187" i="6"/>
  <c r="D187" i="6"/>
  <c r="E187" i="6"/>
  <c r="F187" i="6"/>
  <c r="G187" i="6"/>
  <c r="H187" i="6"/>
  <c r="A188" i="6"/>
  <c r="B188" i="6"/>
  <c r="C188" i="6"/>
  <c r="D188" i="6"/>
  <c r="E188" i="6"/>
  <c r="F188" i="6"/>
  <c r="G188" i="6"/>
  <c r="H188" i="6"/>
  <c r="A189" i="6"/>
  <c r="B189" i="6"/>
  <c r="C189" i="6"/>
  <c r="D189" i="6"/>
  <c r="E189" i="6"/>
  <c r="F189" i="6"/>
  <c r="G189" i="6"/>
  <c r="H189" i="6"/>
  <c r="A190" i="6"/>
  <c r="B190" i="6"/>
  <c r="C190" i="6"/>
  <c r="D190" i="6"/>
  <c r="E190" i="6"/>
  <c r="F190" i="6"/>
  <c r="G190" i="6"/>
  <c r="H190" i="6"/>
  <c r="A191" i="6"/>
  <c r="B191" i="6"/>
  <c r="C191" i="6"/>
  <c r="D191" i="6"/>
  <c r="E191" i="6"/>
  <c r="F191" i="6"/>
  <c r="G191" i="6"/>
  <c r="H191" i="6"/>
  <c r="A192" i="6"/>
  <c r="B192" i="6"/>
  <c r="C192" i="6"/>
  <c r="D192" i="6"/>
  <c r="E192" i="6"/>
  <c r="F192" i="6"/>
  <c r="G192" i="6"/>
  <c r="H192" i="6"/>
  <c r="A193" i="6"/>
  <c r="B193" i="6"/>
  <c r="C193" i="6"/>
  <c r="D193" i="6"/>
  <c r="E193" i="6"/>
  <c r="F193" i="6"/>
  <c r="G193" i="6"/>
  <c r="H193" i="6"/>
  <c r="A194" i="6"/>
  <c r="B194" i="6"/>
  <c r="C194" i="6"/>
  <c r="D194" i="6"/>
  <c r="E194" i="6"/>
  <c r="F194" i="6"/>
  <c r="G194" i="6"/>
  <c r="H194" i="6"/>
  <c r="A195" i="6"/>
  <c r="B195" i="6"/>
  <c r="C195" i="6"/>
  <c r="D195" i="6"/>
  <c r="E195" i="6"/>
  <c r="F195" i="6"/>
  <c r="G195" i="6"/>
  <c r="H195" i="6"/>
  <c r="A196" i="6"/>
  <c r="B196" i="6"/>
  <c r="C196" i="6"/>
  <c r="D196" i="6"/>
  <c r="E196" i="6"/>
  <c r="F196" i="6"/>
  <c r="G196" i="6"/>
  <c r="H196" i="6"/>
  <c r="A197" i="6"/>
  <c r="B197" i="6"/>
  <c r="C197" i="6"/>
  <c r="D197" i="6"/>
  <c r="E197" i="6"/>
  <c r="F197" i="6"/>
  <c r="G197" i="6"/>
  <c r="H197" i="6"/>
  <c r="A198" i="6"/>
  <c r="B198" i="6"/>
  <c r="C198" i="6"/>
  <c r="D198" i="6"/>
  <c r="E198" i="6"/>
  <c r="F198" i="6"/>
  <c r="G198" i="6"/>
  <c r="H198" i="6"/>
  <c r="A199" i="6"/>
  <c r="B199" i="6"/>
  <c r="C199" i="6"/>
  <c r="D199" i="6"/>
  <c r="E199" i="6"/>
  <c r="F199" i="6"/>
  <c r="G199" i="6"/>
  <c r="H199" i="6"/>
  <c r="A200" i="6"/>
  <c r="B200" i="6"/>
  <c r="C200" i="6"/>
  <c r="D200" i="6"/>
  <c r="E200" i="6"/>
  <c r="F200" i="6"/>
  <c r="G200" i="6"/>
  <c r="H200" i="6"/>
  <c r="A201" i="6"/>
  <c r="B201" i="6"/>
  <c r="C201" i="6"/>
  <c r="D201" i="6"/>
  <c r="E201" i="6"/>
  <c r="F201" i="6"/>
  <c r="G201" i="6"/>
  <c r="H201" i="6"/>
  <c r="A202" i="6"/>
  <c r="B202" i="6"/>
  <c r="C202" i="6"/>
  <c r="D202" i="6"/>
  <c r="E202" i="6"/>
  <c r="F202" i="6"/>
  <c r="G202" i="6"/>
  <c r="H202" i="6"/>
  <c r="A203" i="6"/>
  <c r="B203" i="6"/>
  <c r="C203" i="6"/>
  <c r="D203" i="6"/>
  <c r="E203" i="6"/>
  <c r="F203" i="6"/>
  <c r="G203" i="6"/>
  <c r="H203" i="6"/>
  <c r="A204" i="6"/>
  <c r="B204" i="6"/>
  <c r="C204" i="6"/>
  <c r="D204" i="6"/>
  <c r="E204" i="6"/>
  <c r="F204" i="6"/>
  <c r="G204" i="6"/>
  <c r="H204" i="6"/>
  <c r="A205" i="6"/>
  <c r="B205" i="6"/>
  <c r="C205" i="6"/>
  <c r="D205" i="6"/>
  <c r="E205" i="6"/>
  <c r="F205" i="6"/>
  <c r="G205" i="6"/>
  <c r="H205" i="6"/>
  <c r="A206" i="6"/>
  <c r="B206" i="6"/>
  <c r="C206" i="6"/>
  <c r="D206" i="6"/>
  <c r="E206" i="6"/>
  <c r="F206" i="6"/>
  <c r="G206" i="6"/>
  <c r="H206" i="6"/>
  <c r="A207" i="6"/>
  <c r="B207" i="6"/>
  <c r="C207" i="6"/>
  <c r="D207" i="6"/>
  <c r="E207" i="6"/>
  <c r="F207" i="6"/>
  <c r="G207" i="6"/>
  <c r="H207" i="6"/>
  <c r="A208" i="6"/>
  <c r="B208" i="6"/>
  <c r="C208" i="6"/>
  <c r="D208" i="6"/>
  <c r="E208" i="6"/>
  <c r="F208" i="6"/>
  <c r="G208" i="6"/>
  <c r="H208" i="6"/>
  <c r="A209" i="6"/>
  <c r="B209" i="6"/>
  <c r="C209" i="6"/>
  <c r="D209" i="6"/>
  <c r="E209" i="6"/>
  <c r="F209" i="6"/>
  <c r="G209" i="6"/>
  <c r="H209" i="6"/>
  <c r="A210" i="6"/>
  <c r="B210" i="6"/>
  <c r="C210" i="6"/>
  <c r="D210" i="6"/>
  <c r="E210" i="6"/>
  <c r="F210" i="6"/>
  <c r="G210" i="6"/>
  <c r="H210" i="6"/>
  <c r="A211" i="6"/>
  <c r="B211" i="6"/>
  <c r="C211" i="6"/>
  <c r="D211" i="6"/>
  <c r="E211" i="6"/>
  <c r="F211" i="6"/>
  <c r="G211" i="6"/>
  <c r="H211" i="6"/>
  <c r="A212" i="6"/>
  <c r="B212" i="6"/>
  <c r="C212" i="6"/>
  <c r="D212" i="6"/>
  <c r="E212" i="6"/>
  <c r="F212" i="6"/>
  <c r="G212" i="6"/>
  <c r="H212" i="6"/>
  <c r="A213" i="6"/>
  <c r="B213" i="6"/>
  <c r="C213" i="6"/>
  <c r="D213" i="6"/>
  <c r="E213" i="6"/>
  <c r="F213" i="6"/>
  <c r="G213" i="6"/>
  <c r="H213" i="6"/>
  <c r="A214" i="6"/>
  <c r="B214" i="6"/>
  <c r="C214" i="6"/>
  <c r="D214" i="6"/>
  <c r="E214" i="6"/>
  <c r="F214" i="6"/>
  <c r="G214" i="6"/>
  <c r="H214" i="6"/>
  <c r="A215" i="6"/>
  <c r="B215" i="6"/>
  <c r="C215" i="6"/>
  <c r="D215" i="6"/>
  <c r="E215" i="6"/>
  <c r="F215" i="6"/>
  <c r="G215" i="6"/>
  <c r="H215" i="6"/>
  <c r="A216" i="6"/>
  <c r="B216" i="6"/>
  <c r="C216" i="6"/>
  <c r="D216" i="6"/>
  <c r="E216" i="6"/>
  <c r="F216" i="6"/>
  <c r="G216" i="6"/>
  <c r="H216" i="6"/>
  <c r="A217" i="6"/>
  <c r="B217" i="6"/>
  <c r="C217" i="6"/>
  <c r="D217" i="6"/>
  <c r="E217" i="6"/>
  <c r="F217" i="6"/>
  <c r="G217" i="6"/>
  <c r="H217" i="6"/>
  <c r="A218" i="6"/>
  <c r="B218" i="6"/>
  <c r="C218" i="6"/>
  <c r="D218" i="6"/>
  <c r="E218" i="6"/>
  <c r="F218" i="6"/>
  <c r="G218" i="6"/>
  <c r="H218" i="6"/>
  <c r="A219" i="6"/>
  <c r="B219" i="6"/>
  <c r="C219" i="6"/>
  <c r="D219" i="6"/>
  <c r="E219" i="6"/>
  <c r="F219" i="6"/>
  <c r="G219" i="6"/>
  <c r="H219" i="6"/>
  <c r="A220" i="6"/>
  <c r="B220" i="6"/>
  <c r="C220" i="6"/>
  <c r="D220" i="6"/>
  <c r="E220" i="6"/>
  <c r="F220" i="6"/>
  <c r="G220" i="6"/>
  <c r="H220" i="6"/>
  <c r="A221" i="6"/>
  <c r="B221" i="6"/>
  <c r="C221" i="6"/>
  <c r="D221" i="6"/>
  <c r="E221" i="6"/>
  <c r="F221" i="6"/>
  <c r="G221" i="6"/>
  <c r="H221" i="6"/>
  <c r="A222" i="6"/>
  <c r="B222" i="6"/>
  <c r="C222" i="6"/>
  <c r="D222" i="6"/>
  <c r="E222" i="6"/>
  <c r="F222" i="6"/>
  <c r="G222" i="6"/>
  <c r="H222" i="6"/>
  <c r="A223" i="6"/>
  <c r="B223" i="6"/>
  <c r="C223" i="6"/>
  <c r="D223" i="6"/>
  <c r="E223" i="6"/>
  <c r="F223" i="6"/>
  <c r="G223" i="6"/>
  <c r="H223" i="6"/>
  <c r="A224" i="6"/>
  <c r="B224" i="6"/>
  <c r="C224" i="6"/>
  <c r="D224" i="6"/>
  <c r="E224" i="6"/>
  <c r="F224" i="6"/>
  <c r="G224" i="6"/>
  <c r="H224" i="6"/>
  <c r="A225" i="6"/>
  <c r="B225" i="6"/>
  <c r="C225" i="6"/>
  <c r="D225" i="6"/>
  <c r="E225" i="6"/>
  <c r="F225" i="6"/>
  <c r="G225" i="6"/>
  <c r="H225" i="6"/>
  <c r="A226" i="6"/>
  <c r="B226" i="6"/>
  <c r="C226" i="6"/>
  <c r="D226" i="6"/>
  <c r="E226" i="6"/>
  <c r="F226" i="6"/>
  <c r="G226" i="6"/>
  <c r="H226" i="6"/>
  <c r="A227" i="6"/>
  <c r="B227" i="6"/>
  <c r="C227" i="6"/>
  <c r="D227" i="6"/>
  <c r="E227" i="6"/>
  <c r="F227" i="6"/>
  <c r="G227" i="6"/>
  <c r="H227" i="6"/>
  <c r="A228" i="6"/>
  <c r="B228" i="6"/>
  <c r="C228" i="6"/>
  <c r="D228" i="6"/>
  <c r="E228" i="6"/>
  <c r="F228" i="6"/>
  <c r="G228" i="6"/>
  <c r="H228" i="6"/>
  <c r="A229" i="6"/>
  <c r="B229" i="6"/>
  <c r="C229" i="6"/>
  <c r="D229" i="6"/>
  <c r="E229" i="6"/>
  <c r="F229" i="6"/>
  <c r="G229" i="6"/>
  <c r="H229" i="6"/>
  <c r="A230" i="6"/>
  <c r="B230" i="6"/>
  <c r="C230" i="6"/>
  <c r="D230" i="6"/>
  <c r="E230" i="6"/>
  <c r="F230" i="6"/>
  <c r="G230" i="6"/>
  <c r="H230" i="6"/>
  <c r="A231" i="6"/>
  <c r="B231" i="6"/>
  <c r="C231" i="6"/>
  <c r="D231" i="6"/>
  <c r="E231" i="6"/>
  <c r="F231" i="6"/>
  <c r="G231" i="6"/>
  <c r="H231" i="6"/>
  <c r="A232" i="6"/>
  <c r="B232" i="6"/>
  <c r="C232" i="6"/>
  <c r="D232" i="6"/>
  <c r="E232" i="6"/>
  <c r="F232" i="6"/>
  <c r="G232" i="6"/>
  <c r="H232" i="6"/>
  <c r="A233" i="6"/>
  <c r="B233" i="6"/>
  <c r="C233" i="6"/>
  <c r="D233" i="6"/>
  <c r="E233" i="6"/>
  <c r="F233" i="6"/>
  <c r="G233" i="6"/>
  <c r="H233" i="6"/>
  <c r="A234" i="6"/>
  <c r="B234" i="6"/>
  <c r="C234" i="6"/>
  <c r="D234" i="6"/>
  <c r="E234" i="6"/>
  <c r="F234" i="6"/>
  <c r="G234" i="6"/>
  <c r="H234" i="6"/>
  <c r="A235" i="6"/>
  <c r="B235" i="6"/>
  <c r="C235" i="6"/>
  <c r="D235" i="6"/>
  <c r="E235" i="6"/>
  <c r="F235" i="6"/>
  <c r="G235" i="6"/>
  <c r="H235" i="6"/>
  <c r="A236" i="6"/>
  <c r="B236" i="6"/>
  <c r="C236" i="6"/>
  <c r="D236" i="6"/>
  <c r="E236" i="6"/>
  <c r="F236" i="6"/>
  <c r="G236" i="6"/>
  <c r="H236" i="6"/>
  <c r="A237" i="6"/>
  <c r="B237" i="6"/>
  <c r="C237" i="6"/>
  <c r="D237" i="6"/>
  <c r="E237" i="6"/>
  <c r="F237" i="6"/>
  <c r="G237" i="6"/>
  <c r="H237" i="6"/>
  <c r="A238" i="6"/>
  <c r="B238" i="6"/>
  <c r="C238" i="6"/>
  <c r="D238" i="6"/>
  <c r="E238" i="6"/>
  <c r="F238" i="6"/>
  <c r="G238" i="6"/>
  <c r="H238" i="6"/>
  <c r="A239" i="6"/>
  <c r="B239" i="6"/>
  <c r="C239" i="6"/>
  <c r="D239" i="6"/>
  <c r="E239" i="6"/>
  <c r="F239" i="6"/>
  <c r="G239" i="6"/>
  <c r="H239" i="6"/>
  <c r="A240" i="6"/>
  <c r="B240" i="6"/>
  <c r="C240" i="6"/>
  <c r="D240" i="6"/>
  <c r="E240" i="6"/>
  <c r="F240" i="6"/>
  <c r="G240" i="6"/>
  <c r="H240" i="6"/>
  <c r="A241" i="6"/>
  <c r="B241" i="6"/>
  <c r="C241" i="6"/>
  <c r="D241" i="6"/>
  <c r="E241" i="6"/>
  <c r="F241" i="6"/>
  <c r="G241" i="6"/>
  <c r="H241" i="6"/>
  <c r="A242" i="6"/>
  <c r="B242" i="6"/>
  <c r="C242" i="6"/>
  <c r="D242" i="6"/>
  <c r="E242" i="6"/>
  <c r="F242" i="6"/>
  <c r="G242" i="6"/>
  <c r="H242" i="6"/>
  <c r="A243" i="6"/>
  <c r="B243" i="6"/>
  <c r="C243" i="6"/>
  <c r="D243" i="6"/>
  <c r="E243" i="6"/>
  <c r="F243" i="6"/>
  <c r="G243" i="6"/>
  <c r="H243" i="6"/>
  <c r="A244" i="6"/>
  <c r="B244" i="6"/>
  <c r="C244" i="6"/>
  <c r="D244" i="6"/>
  <c r="E244" i="6"/>
  <c r="F244" i="6"/>
  <c r="G244" i="6"/>
  <c r="H244" i="6"/>
  <c r="A245" i="6"/>
  <c r="B245" i="6"/>
  <c r="C245" i="6"/>
  <c r="D245" i="6"/>
  <c r="E245" i="6"/>
  <c r="F245" i="6"/>
  <c r="G245" i="6"/>
  <c r="H245" i="6"/>
  <c r="A246" i="6"/>
  <c r="B246" i="6"/>
  <c r="C246" i="6"/>
  <c r="D246" i="6"/>
  <c r="E246" i="6"/>
  <c r="F246" i="6"/>
  <c r="G246" i="6"/>
  <c r="H246" i="6"/>
  <c r="A247" i="6"/>
  <c r="B247" i="6"/>
  <c r="C247" i="6"/>
  <c r="D247" i="6"/>
  <c r="E247" i="6"/>
  <c r="F247" i="6"/>
  <c r="G247" i="6"/>
  <c r="H247" i="6"/>
  <c r="A248" i="6"/>
  <c r="B248" i="6"/>
  <c r="C248" i="6"/>
  <c r="D248" i="6"/>
  <c r="E248" i="6"/>
  <c r="F248" i="6"/>
  <c r="G248" i="6"/>
  <c r="H248" i="6"/>
  <c r="A249" i="6"/>
  <c r="B249" i="6"/>
  <c r="C249" i="6"/>
  <c r="D249" i="6"/>
  <c r="E249" i="6"/>
  <c r="F249" i="6"/>
  <c r="G249" i="6"/>
  <c r="H249" i="6"/>
  <c r="A250" i="6"/>
  <c r="B250" i="6"/>
  <c r="C250" i="6"/>
  <c r="D250" i="6"/>
  <c r="E250" i="6"/>
  <c r="F250" i="6"/>
  <c r="G250" i="6"/>
  <c r="H250" i="6"/>
  <c r="A251" i="6"/>
  <c r="B251" i="6"/>
  <c r="C251" i="6"/>
  <c r="D251" i="6"/>
  <c r="E251" i="6"/>
  <c r="F251" i="6"/>
  <c r="G251" i="6"/>
  <c r="H251" i="6"/>
  <c r="A252" i="6"/>
  <c r="B252" i="6"/>
  <c r="C252" i="6"/>
  <c r="D252" i="6"/>
  <c r="E252" i="6"/>
  <c r="F252" i="6"/>
  <c r="G252" i="6"/>
  <c r="H252" i="6"/>
  <c r="A253" i="6"/>
  <c r="B253" i="6"/>
  <c r="C253" i="6"/>
  <c r="D253" i="6"/>
  <c r="E253" i="6"/>
  <c r="F253" i="6"/>
  <c r="G253" i="6"/>
  <c r="H253" i="6"/>
  <c r="A254" i="6"/>
  <c r="B254" i="6"/>
  <c r="C254" i="6"/>
  <c r="D254" i="6"/>
  <c r="E254" i="6"/>
  <c r="F254" i="6"/>
  <c r="G254" i="6"/>
  <c r="H254" i="6"/>
  <c r="A255" i="6"/>
  <c r="B255" i="6"/>
  <c r="C255" i="6"/>
  <c r="D255" i="6"/>
  <c r="E255" i="6"/>
  <c r="F255" i="6"/>
  <c r="G255" i="6"/>
  <c r="H255" i="6"/>
  <c r="A256" i="6"/>
  <c r="B256" i="6"/>
  <c r="C256" i="6"/>
  <c r="D256" i="6"/>
  <c r="E256" i="6"/>
  <c r="F256" i="6"/>
  <c r="G256" i="6"/>
  <c r="H256" i="6"/>
  <c r="A257" i="6"/>
  <c r="B257" i="6"/>
  <c r="C257" i="6"/>
  <c r="D257" i="6"/>
  <c r="E257" i="6"/>
  <c r="F257" i="6"/>
  <c r="G257" i="6"/>
  <c r="H257" i="6"/>
  <c r="A258" i="6"/>
  <c r="B258" i="6"/>
  <c r="C258" i="6"/>
  <c r="D258" i="6"/>
  <c r="E258" i="6"/>
  <c r="F258" i="6"/>
  <c r="G258" i="6"/>
  <c r="H258" i="6"/>
  <c r="A259" i="6"/>
  <c r="B259" i="6"/>
  <c r="C259" i="6"/>
  <c r="D259" i="6"/>
  <c r="E259" i="6"/>
  <c r="F259" i="6"/>
  <c r="G259" i="6"/>
  <c r="H259" i="6"/>
  <c r="A260" i="6"/>
  <c r="B260" i="6"/>
  <c r="C260" i="6"/>
  <c r="D260" i="6"/>
  <c r="E260" i="6"/>
  <c r="F260" i="6"/>
  <c r="G260" i="6"/>
  <c r="H260" i="6"/>
  <c r="A261" i="6"/>
  <c r="B261" i="6"/>
  <c r="C261" i="6"/>
  <c r="D261" i="6"/>
  <c r="E261" i="6"/>
  <c r="F261" i="6"/>
  <c r="G261" i="6"/>
  <c r="H261" i="6"/>
  <c r="A262" i="6"/>
  <c r="B262" i="6"/>
  <c r="C262" i="6"/>
  <c r="D262" i="6"/>
  <c r="E262" i="6"/>
  <c r="F262" i="6"/>
  <c r="G262" i="6"/>
  <c r="H262" i="6"/>
  <c r="A263" i="6"/>
  <c r="B263" i="6"/>
  <c r="C263" i="6"/>
  <c r="D263" i="6"/>
  <c r="E263" i="6"/>
  <c r="F263" i="6"/>
  <c r="G263" i="6"/>
  <c r="H263" i="6"/>
  <c r="A264" i="6"/>
  <c r="B264" i="6"/>
  <c r="C264" i="6"/>
  <c r="D264" i="6"/>
  <c r="E264" i="6"/>
  <c r="F264" i="6"/>
  <c r="G264" i="6"/>
  <c r="H264" i="6"/>
  <c r="A265" i="6"/>
  <c r="B265" i="6"/>
  <c r="C265" i="6"/>
  <c r="D265" i="6"/>
  <c r="E265" i="6"/>
  <c r="F265" i="6"/>
  <c r="G265" i="6"/>
  <c r="H265" i="6"/>
  <c r="A266" i="6"/>
  <c r="B266" i="6"/>
  <c r="C266" i="6"/>
  <c r="D266" i="6"/>
  <c r="E266" i="6"/>
  <c r="F266" i="6"/>
  <c r="G266" i="6"/>
  <c r="H266" i="6"/>
  <c r="A267" i="6"/>
  <c r="B267" i="6"/>
  <c r="C267" i="6"/>
  <c r="D267" i="6"/>
  <c r="E267" i="6"/>
  <c r="F267" i="6"/>
  <c r="G267" i="6"/>
  <c r="H267" i="6"/>
  <c r="A268" i="6"/>
  <c r="B268" i="6"/>
  <c r="C268" i="6"/>
  <c r="D268" i="6"/>
  <c r="E268" i="6"/>
  <c r="F268" i="6"/>
  <c r="G268" i="6"/>
  <c r="H268" i="6"/>
  <c r="A269" i="6"/>
  <c r="B269" i="6"/>
  <c r="C269" i="6"/>
  <c r="D269" i="6"/>
  <c r="E269" i="6"/>
  <c r="F269" i="6"/>
  <c r="G269" i="6"/>
  <c r="H269" i="6"/>
  <c r="A270" i="6"/>
  <c r="B270" i="6"/>
  <c r="C270" i="6"/>
  <c r="D270" i="6"/>
  <c r="E270" i="6"/>
  <c r="F270" i="6"/>
  <c r="G270" i="6"/>
  <c r="H270" i="6"/>
  <c r="A271" i="6"/>
  <c r="B271" i="6"/>
  <c r="C271" i="6"/>
  <c r="D271" i="6"/>
  <c r="E271" i="6"/>
  <c r="F271" i="6"/>
  <c r="G271" i="6"/>
  <c r="H271" i="6"/>
  <c r="A272" i="6"/>
  <c r="B272" i="6"/>
  <c r="C272" i="6"/>
  <c r="D272" i="6"/>
  <c r="E272" i="6"/>
  <c r="F272" i="6"/>
  <c r="G272" i="6"/>
  <c r="H272" i="6"/>
  <c r="A273" i="6"/>
  <c r="B273" i="6"/>
  <c r="C273" i="6"/>
  <c r="D273" i="6"/>
  <c r="E273" i="6"/>
  <c r="F273" i="6"/>
  <c r="G273" i="6"/>
  <c r="H273" i="6"/>
  <c r="A274" i="6"/>
  <c r="B274" i="6"/>
  <c r="C274" i="6"/>
  <c r="D274" i="6"/>
  <c r="E274" i="6"/>
  <c r="F274" i="6"/>
  <c r="G274" i="6"/>
  <c r="H274" i="6"/>
  <c r="A275" i="6"/>
  <c r="B275" i="6"/>
  <c r="C275" i="6"/>
  <c r="D275" i="6"/>
  <c r="E275" i="6"/>
  <c r="F275" i="6"/>
  <c r="G275" i="6"/>
  <c r="H275" i="6"/>
  <c r="A276" i="6"/>
  <c r="B276" i="6"/>
  <c r="C276" i="6"/>
  <c r="D276" i="6"/>
  <c r="E276" i="6"/>
  <c r="F276" i="6"/>
  <c r="G276" i="6"/>
  <c r="H276" i="6"/>
  <c r="A277" i="6"/>
  <c r="B277" i="6"/>
  <c r="C277" i="6"/>
  <c r="D277" i="6"/>
  <c r="E277" i="6"/>
  <c r="F277" i="6"/>
  <c r="G277" i="6"/>
  <c r="H277" i="6"/>
  <c r="A278" i="6"/>
  <c r="B278" i="6"/>
  <c r="C278" i="6"/>
  <c r="D278" i="6"/>
  <c r="E278" i="6"/>
  <c r="F278" i="6"/>
  <c r="G278" i="6"/>
  <c r="H278" i="6"/>
  <c r="A279" i="6"/>
  <c r="B279" i="6"/>
  <c r="C279" i="6"/>
  <c r="D279" i="6"/>
  <c r="E279" i="6"/>
  <c r="F279" i="6"/>
  <c r="G279" i="6"/>
  <c r="H279" i="6"/>
  <c r="A280" i="6"/>
  <c r="B280" i="6"/>
  <c r="C280" i="6"/>
  <c r="D280" i="6"/>
  <c r="E280" i="6"/>
  <c r="F280" i="6"/>
  <c r="G280" i="6"/>
  <c r="H280" i="6"/>
  <c r="A281" i="6"/>
  <c r="B281" i="6"/>
  <c r="C281" i="6"/>
  <c r="D281" i="6"/>
  <c r="E281" i="6"/>
  <c r="F281" i="6"/>
  <c r="G281" i="6"/>
  <c r="H281" i="6"/>
  <c r="A282" i="6"/>
  <c r="B282" i="6"/>
  <c r="C282" i="6"/>
  <c r="D282" i="6"/>
  <c r="E282" i="6"/>
  <c r="F282" i="6"/>
  <c r="G282" i="6"/>
  <c r="H282" i="6"/>
  <c r="A283" i="6"/>
  <c r="B283" i="6"/>
  <c r="C283" i="6"/>
  <c r="D283" i="6"/>
  <c r="E283" i="6"/>
  <c r="F283" i="6"/>
  <c r="G283" i="6"/>
  <c r="H283" i="6"/>
  <c r="A284" i="6"/>
  <c r="B284" i="6"/>
  <c r="C284" i="6"/>
  <c r="D284" i="6"/>
  <c r="E284" i="6"/>
  <c r="F284" i="6"/>
  <c r="G284" i="6"/>
  <c r="H284" i="6"/>
  <c r="A285" i="6"/>
  <c r="B285" i="6"/>
  <c r="C285" i="6"/>
  <c r="D285" i="6"/>
  <c r="E285" i="6"/>
  <c r="F285" i="6"/>
  <c r="G285" i="6"/>
  <c r="H285" i="6"/>
  <c r="A286" i="6"/>
  <c r="B286" i="6"/>
  <c r="C286" i="6"/>
  <c r="D286" i="6"/>
  <c r="E286" i="6"/>
  <c r="F286" i="6"/>
  <c r="G286" i="6"/>
  <c r="H286" i="6"/>
  <c r="A287" i="6"/>
  <c r="B287" i="6"/>
  <c r="C287" i="6"/>
  <c r="D287" i="6"/>
  <c r="E287" i="6"/>
  <c r="F287" i="6"/>
  <c r="G287" i="6"/>
  <c r="H287" i="6"/>
  <c r="A288" i="6"/>
  <c r="B288" i="6"/>
  <c r="C288" i="6"/>
  <c r="D288" i="6"/>
  <c r="E288" i="6"/>
  <c r="F288" i="6"/>
  <c r="G288" i="6"/>
  <c r="H288" i="6"/>
  <c r="A289" i="6"/>
  <c r="B289" i="6"/>
  <c r="C289" i="6"/>
  <c r="D289" i="6"/>
  <c r="E289" i="6"/>
  <c r="F289" i="6"/>
  <c r="G289" i="6"/>
  <c r="H289" i="6"/>
  <c r="A290" i="6"/>
  <c r="B290" i="6"/>
  <c r="C290" i="6"/>
  <c r="D290" i="6"/>
  <c r="E290" i="6"/>
  <c r="F290" i="6"/>
  <c r="G290" i="6"/>
  <c r="H290" i="6"/>
  <c r="A291" i="6"/>
  <c r="B291" i="6"/>
  <c r="C291" i="6"/>
  <c r="D291" i="6"/>
  <c r="E291" i="6"/>
  <c r="F291" i="6"/>
  <c r="G291" i="6"/>
  <c r="H291" i="6"/>
  <c r="A292" i="6"/>
  <c r="B292" i="6"/>
  <c r="C292" i="6"/>
  <c r="D292" i="6"/>
  <c r="E292" i="6"/>
  <c r="F292" i="6"/>
  <c r="G292" i="6"/>
  <c r="H292" i="6"/>
  <c r="A293" i="6"/>
  <c r="B293" i="6"/>
  <c r="C293" i="6"/>
  <c r="D293" i="6"/>
  <c r="E293" i="6"/>
  <c r="F293" i="6"/>
  <c r="G293" i="6"/>
  <c r="H293" i="6"/>
  <c r="A294" i="6"/>
  <c r="B294" i="6"/>
  <c r="C294" i="6"/>
  <c r="D294" i="6"/>
  <c r="E294" i="6"/>
  <c r="F294" i="6"/>
  <c r="G294" i="6"/>
  <c r="H294" i="6"/>
  <c r="A295" i="6"/>
  <c r="B295" i="6"/>
  <c r="C295" i="6"/>
  <c r="D295" i="6"/>
  <c r="E295" i="6"/>
  <c r="F295" i="6"/>
  <c r="G295" i="6"/>
  <c r="H295" i="6"/>
  <c r="A296" i="6"/>
  <c r="B296" i="6"/>
  <c r="C296" i="6"/>
  <c r="D296" i="6"/>
  <c r="E296" i="6"/>
  <c r="F296" i="6"/>
  <c r="G296" i="6"/>
  <c r="H296" i="6"/>
  <c r="A297" i="6"/>
  <c r="B297" i="6"/>
  <c r="C297" i="6"/>
  <c r="D297" i="6"/>
  <c r="E297" i="6"/>
  <c r="F297" i="6"/>
  <c r="G297" i="6"/>
  <c r="H297" i="6"/>
  <c r="A298" i="6"/>
  <c r="B298" i="6"/>
  <c r="C298" i="6"/>
  <c r="D298" i="6"/>
  <c r="E298" i="6"/>
  <c r="F298" i="6"/>
  <c r="G298" i="6"/>
  <c r="H298" i="6"/>
  <c r="A299" i="6"/>
  <c r="B299" i="6"/>
  <c r="C299" i="6"/>
  <c r="D299" i="6"/>
  <c r="E299" i="6"/>
  <c r="F299" i="6"/>
  <c r="G299" i="6"/>
  <c r="H299" i="6"/>
  <c r="A300" i="6"/>
  <c r="B300" i="6"/>
  <c r="C300" i="6"/>
  <c r="D300" i="6"/>
  <c r="E300" i="6"/>
  <c r="F300" i="6"/>
  <c r="G300" i="6"/>
  <c r="H300" i="6"/>
  <c r="A301" i="6"/>
  <c r="B301" i="6"/>
  <c r="C301" i="6"/>
  <c r="D301" i="6"/>
  <c r="E301" i="6"/>
  <c r="F301" i="6"/>
  <c r="G301" i="6"/>
  <c r="H301" i="6"/>
  <c r="A302" i="6"/>
  <c r="B302" i="6"/>
  <c r="C302" i="6"/>
  <c r="D302" i="6"/>
  <c r="E302" i="6"/>
  <c r="F302" i="6"/>
  <c r="G302" i="6"/>
  <c r="H302" i="6"/>
  <c r="A303" i="6"/>
  <c r="B303" i="6"/>
  <c r="C303" i="6"/>
  <c r="D303" i="6"/>
  <c r="E303" i="6"/>
  <c r="F303" i="6"/>
  <c r="G303" i="6"/>
  <c r="H303" i="6"/>
  <c r="A304" i="6"/>
  <c r="B304" i="6"/>
  <c r="C304" i="6"/>
  <c r="D304" i="6"/>
  <c r="E304" i="6"/>
  <c r="F304" i="6"/>
  <c r="G304" i="6"/>
  <c r="H304" i="6"/>
  <c r="A305" i="6"/>
  <c r="B305" i="6"/>
  <c r="C305" i="6"/>
  <c r="D305" i="6"/>
  <c r="E305" i="6"/>
  <c r="F305" i="6"/>
  <c r="G305" i="6"/>
  <c r="H305" i="6"/>
  <c r="A306" i="6"/>
  <c r="B306" i="6"/>
  <c r="C306" i="6"/>
  <c r="D306" i="6"/>
  <c r="E306" i="6"/>
  <c r="F306" i="6"/>
  <c r="G306" i="6"/>
  <c r="H306" i="6"/>
  <c r="A307" i="6"/>
  <c r="B307" i="6"/>
  <c r="C307" i="6"/>
  <c r="D307" i="6"/>
  <c r="E307" i="6"/>
  <c r="F307" i="6"/>
  <c r="G307" i="6"/>
  <c r="H307" i="6"/>
  <c r="A308" i="6"/>
  <c r="B308" i="6"/>
  <c r="C308" i="6"/>
  <c r="D308" i="6"/>
  <c r="E308" i="6"/>
  <c r="F308" i="6"/>
  <c r="G308" i="6"/>
  <c r="H308" i="6"/>
  <c r="A309" i="6"/>
  <c r="B309" i="6"/>
  <c r="C309" i="6"/>
  <c r="D309" i="6"/>
  <c r="E309" i="6"/>
  <c r="F309" i="6"/>
  <c r="G309" i="6"/>
  <c r="H309" i="6"/>
  <c r="A310" i="6"/>
  <c r="B310" i="6"/>
  <c r="C310" i="6"/>
  <c r="D310" i="6"/>
  <c r="E310" i="6"/>
  <c r="F310" i="6"/>
  <c r="G310" i="6"/>
  <c r="H310" i="6"/>
  <c r="A311" i="6"/>
  <c r="B311" i="6"/>
  <c r="C311" i="6"/>
  <c r="D311" i="6"/>
  <c r="E311" i="6"/>
  <c r="F311" i="6"/>
  <c r="G311" i="6"/>
  <c r="H311" i="6"/>
  <c r="A312" i="6"/>
  <c r="B312" i="6"/>
  <c r="C312" i="6"/>
  <c r="D312" i="6"/>
  <c r="E312" i="6"/>
  <c r="F312" i="6"/>
  <c r="G312" i="6"/>
  <c r="H312" i="6"/>
  <c r="A313" i="6"/>
  <c r="B313" i="6"/>
  <c r="C313" i="6"/>
  <c r="D313" i="6"/>
  <c r="E313" i="6"/>
  <c r="F313" i="6"/>
  <c r="G313" i="6"/>
  <c r="H313" i="6"/>
  <c r="A314" i="6"/>
  <c r="B314" i="6"/>
  <c r="C314" i="6"/>
  <c r="D314" i="6"/>
  <c r="E314" i="6"/>
  <c r="F314" i="6"/>
  <c r="G314" i="6"/>
  <c r="H314" i="6"/>
  <c r="A315" i="6"/>
  <c r="B315" i="6"/>
  <c r="C315" i="6"/>
  <c r="D315" i="6"/>
  <c r="E315" i="6"/>
  <c r="F315" i="6"/>
  <c r="G315" i="6"/>
  <c r="H315" i="6"/>
  <c r="A316" i="6"/>
  <c r="B316" i="6"/>
  <c r="C316" i="6"/>
  <c r="D316" i="6"/>
  <c r="E316" i="6"/>
  <c r="F316" i="6"/>
  <c r="G316" i="6"/>
  <c r="H316" i="6"/>
  <c r="A317" i="6"/>
  <c r="B317" i="6"/>
  <c r="C317" i="6"/>
  <c r="D317" i="6"/>
  <c r="E317" i="6"/>
  <c r="F317" i="6"/>
  <c r="G317" i="6"/>
  <c r="H317" i="6"/>
  <c r="A318" i="6"/>
  <c r="B318" i="6"/>
  <c r="C318" i="6"/>
  <c r="D318" i="6"/>
  <c r="E318" i="6"/>
  <c r="F318" i="6"/>
  <c r="G318" i="6"/>
  <c r="H318" i="6"/>
  <c r="A319" i="6"/>
  <c r="B319" i="6"/>
  <c r="C319" i="6"/>
  <c r="D319" i="6"/>
  <c r="E319" i="6"/>
  <c r="F319" i="6"/>
  <c r="G319" i="6"/>
  <c r="H319" i="6"/>
  <c r="A320" i="6"/>
  <c r="B320" i="6"/>
  <c r="C320" i="6"/>
  <c r="D320" i="6"/>
  <c r="E320" i="6"/>
  <c r="F320" i="6"/>
  <c r="G320" i="6"/>
  <c r="H320" i="6"/>
  <c r="A321" i="6"/>
  <c r="B321" i="6"/>
  <c r="C321" i="6"/>
  <c r="D321" i="6"/>
  <c r="E321" i="6"/>
  <c r="F321" i="6"/>
  <c r="G321" i="6"/>
  <c r="H321" i="6"/>
  <c r="A322" i="6"/>
  <c r="B322" i="6"/>
  <c r="C322" i="6"/>
  <c r="D322" i="6"/>
  <c r="E322" i="6"/>
  <c r="F322" i="6"/>
  <c r="G322" i="6"/>
  <c r="H322" i="6"/>
  <c r="A323" i="6"/>
  <c r="B323" i="6"/>
  <c r="C323" i="6"/>
  <c r="D323" i="6"/>
  <c r="E323" i="6"/>
  <c r="F323" i="6"/>
  <c r="G323" i="6"/>
  <c r="H323" i="6"/>
  <c r="A324" i="6"/>
  <c r="B324" i="6"/>
  <c r="C324" i="6"/>
  <c r="D324" i="6"/>
  <c r="E324" i="6"/>
  <c r="F324" i="6"/>
  <c r="G324" i="6"/>
  <c r="H324" i="6"/>
  <c r="A325" i="6"/>
  <c r="B325" i="6"/>
  <c r="C325" i="6"/>
  <c r="D325" i="6"/>
  <c r="E325" i="6"/>
  <c r="F325" i="6"/>
  <c r="G325" i="6"/>
  <c r="H325" i="6"/>
  <c r="A326" i="6"/>
  <c r="B326" i="6"/>
  <c r="C326" i="6"/>
  <c r="D326" i="6"/>
  <c r="E326" i="6"/>
  <c r="F326" i="6"/>
  <c r="G326" i="6"/>
  <c r="H326" i="6"/>
  <c r="A327" i="6"/>
  <c r="B327" i="6"/>
  <c r="C327" i="6"/>
  <c r="D327" i="6"/>
  <c r="E327" i="6"/>
  <c r="F327" i="6"/>
  <c r="G327" i="6"/>
  <c r="H327" i="6"/>
  <c r="B1" i="4"/>
  <c r="C1" i="4"/>
  <c r="D1" i="4"/>
  <c r="E1" i="4"/>
  <c r="F1" i="4"/>
  <c r="G1" i="4"/>
  <c r="H1" i="4"/>
  <c r="I1" i="4"/>
  <c r="B2" i="4"/>
  <c r="C2" i="4"/>
  <c r="D2" i="4"/>
  <c r="E2" i="4"/>
  <c r="F2" i="4"/>
  <c r="G2" i="4"/>
  <c r="H2" i="4"/>
  <c r="I2" i="4"/>
  <c r="B3" i="4"/>
  <c r="C3" i="4"/>
  <c r="D3" i="4"/>
  <c r="E3" i="4"/>
  <c r="F3" i="4"/>
  <c r="G3" i="4"/>
  <c r="H3" i="4"/>
  <c r="I3" i="4"/>
  <c r="B4" i="4"/>
  <c r="D4" i="4"/>
  <c r="E4" i="4"/>
  <c r="F4" i="4"/>
  <c r="G4" i="4"/>
  <c r="H4" i="4"/>
  <c r="I4" i="4"/>
  <c r="B5" i="4"/>
  <c r="C5" i="4"/>
  <c r="D5" i="4"/>
  <c r="E5" i="4"/>
  <c r="F5" i="4"/>
  <c r="G5" i="4"/>
  <c r="H5" i="4"/>
  <c r="I5" i="4"/>
  <c r="B6" i="4"/>
  <c r="C6" i="4"/>
  <c r="D6" i="4"/>
  <c r="E6" i="4"/>
  <c r="F6" i="4"/>
  <c r="G6" i="4"/>
  <c r="H6" i="4"/>
  <c r="I6" i="4"/>
  <c r="B7" i="4"/>
  <c r="C7" i="4"/>
  <c r="D7" i="4"/>
  <c r="E7" i="4"/>
  <c r="F7" i="4"/>
  <c r="G7" i="4"/>
  <c r="H7" i="4"/>
  <c r="I7" i="4"/>
  <c r="B8" i="4"/>
  <c r="C8" i="4"/>
  <c r="D8" i="4"/>
  <c r="E8" i="4"/>
  <c r="F8" i="4"/>
  <c r="G8" i="4"/>
  <c r="H8" i="4"/>
  <c r="I8" i="4"/>
  <c r="B9" i="4"/>
  <c r="C9" i="4"/>
  <c r="D9" i="4"/>
  <c r="E9" i="4"/>
  <c r="F9" i="4"/>
  <c r="G9" i="4"/>
  <c r="H9" i="4"/>
  <c r="I9" i="4"/>
  <c r="B10" i="4"/>
  <c r="C10" i="4"/>
  <c r="D10" i="4"/>
  <c r="E10" i="4"/>
  <c r="F10" i="4"/>
  <c r="G10" i="4"/>
  <c r="H10" i="4"/>
  <c r="I10" i="4"/>
  <c r="B11" i="4"/>
  <c r="D11" i="4"/>
  <c r="E11" i="4"/>
  <c r="F11" i="4"/>
  <c r="G11" i="4"/>
  <c r="H11" i="4"/>
  <c r="I11" i="4"/>
  <c r="B12" i="4"/>
  <c r="C12" i="4"/>
  <c r="D12" i="4"/>
  <c r="E12" i="4"/>
  <c r="F12" i="4"/>
  <c r="G12" i="4"/>
  <c r="H12" i="4"/>
  <c r="I12" i="4"/>
  <c r="B15" i="4"/>
  <c r="C15" i="4"/>
  <c r="D15" i="4"/>
  <c r="E15" i="4"/>
  <c r="F15" i="4"/>
  <c r="G15" i="4"/>
  <c r="H15" i="4"/>
  <c r="I15" i="4"/>
  <c r="B16" i="4"/>
  <c r="C16" i="4"/>
  <c r="D16" i="4"/>
  <c r="E16" i="4"/>
  <c r="F16" i="4"/>
  <c r="G16" i="4"/>
  <c r="H16" i="4"/>
  <c r="I16" i="4"/>
  <c r="B18" i="4"/>
  <c r="C18" i="4"/>
  <c r="D18" i="4"/>
  <c r="E18" i="4"/>
  <c r="F18" i="4"/>
  <c r="G18" i="4"/>
  <c r="H18" i="4"/>
  <c r="I18" i="4"/>
  <c r="B24" i="4"/>
  <c r="D24" i="4"/>
  <c r="E24" i="4"/>
  <c r="F24" i="4"/>
  <c r="G24" i="4"/>
  <c r="H24" i="4"/>
  <c r="I24" i="4"/>
  <c r="B25" i="4"/>
  <c r="C25" i="4"/>
  <c r="D25" i="4"/>
  <c r="E25" i="4"/>
  <c r="F25" i="4"/>
  <c r="G25" i="4"/>
  <c r="H25" i="4"/>
  <c r="I25" i="4"/>
  <c r="B28" i="4"/>
  <c r="C28" i="4"/>
  <c r="D28" i="4"/>
  <c r="E28" i="4"/>
  <c r="F28" i="4"/>
  <c r="G28" i="4"/>
  <c r="H28" i="4"/>
  <c r="I28" i="4"/>
  <c r="B29" i="4"/>
  <c r="C29" i="4"/>
  <c r="D29" i="4"/>
  <c r="E29" i="4"/>
  <c r="F29" i="4"/>
  <c r="G29" i="4"/>
  <c r="H29" i="4"/>
  <c r="I29" i="4"/>
  <c r="B30" i="4"/>
  <c r="C30" i="4"/>
  <c r="D30" i="4"/>
  <c r="E30" i="4"/>
  <c r="F30" i="4"/>
  <c r="G30" i="4"/>
  <c r="H30" i="4"/>
  <c r="I30" i="4"/>
  <c r="B31" i="4"/>
  <c r="C31" i="4"/>
  <c r="D31" i="4"/>
  <c r="E31" i="4"/>
  <c r="F31" i="4"/>
  <c r="G31" i="4"/>
  <c r="H31" i="4"/>
  <c r="I31" i="4"/>
  <c r="B32" i="4"/>
  <c r="C32" i="4"/>
  <c r="D32" i="4"/>
  <c r="E32" i="4"/>
  <c r="F32" i="4"/>
  <c r="G32" i="4"/>
  <c r="H32" i="4"/>
  <c r="I32" i="4"/>
  <c r="B33" i="4"/>
  <c r="C33" i="4"/>
  <c r="D33" i="4"/>
  <c r="E33" i="4"/>
  <c r="F33" i="4"/>
  <c r="G33" i="4"/>
  <c r="H33" i="4"/>
  <c r="I33" i="4"/>
  <c r="B34" i="4"/>
  <c r="C34" i="4"/>
  <c r="D34" i="4"/>
  <c r="E34" i="4"/>
  <c r="F34" i="4"/>
  <c r="G34" i="4"/>
  <c r="H34" i="4"/>
  <c r="I34" i="4"/>
  <c r="B35" i="4"/>
  <c r="C35" i="4"/>
  <c r="D35" i="4"/>
  <c r="E35" i="4"/>
  <c r="F35" i="4"/>
  <c r="G35" i="4"/>
  <c r="H35" i="4"/>
  <c r="I35" i="4"/>
  <c r="B97" i="4"/>
  <c r="C97" i="4"/>
  <c r="D97" i="4"/>
  <c r="E97" i="4"/>
  <c r="F97" i="4"/>
  <c r="G97" i="4"/>
  <c r="H97" i="4"/>
  <c r="I97" i="4"/>
  <c r="B100" i="4"/>
  <c r="C100" i="4"/>
  <c r="D100" i="4"/>
  <c r="E100" i="4"/>
  <c r="F100" i="4"/>
  <c r="G100" i="4"/>
  <c r="H100" i="4"/>
  <c r="I100" i="4"/>
  <c r="B110" i="4"/>
  <c r="C110" i="4"/>
  <c r="D110" i="4"/>
  <c r="E110" i="4"/>
  <c r="F110" i="4"/>
  <c r="G110" i="4"/>
  <c r="H110" i="4"/>
  <c r="I110" i="4"/>
  <c r="B113" i="4"/>
  <c r="C113" i="4"/>
  <c r="D113" i="4"/>
  <c r="E113" i="4"/>
  <c r="F113" i="4"/>
  <c r="G113" i="4"/>
  <c r="H113" i="4"/>
  <c r="I113" i="4"/>
  <c r="B117" i="4"/>
  <c r="C117" i="4"/>
  <c r="D117" i="4"/>
  <c r="E117" i="4"/>
  <c r="F117" i="4"/>
  <c r="G117" i="4"/>
  <c r="H117" i="4"/>
  <c r="I117" i="4"/>
  <c r="B119" i="4"/>
  <c r="C119" i="4"/>
  <c r="D119" i="4"/>
  <c r="E119" i="4"/>
  <c r="F119" i="4"/>
  <c r="G119" i="4"/>
  <c r="H119" i="4"/>
  <c r="I119" i="4"/>
  <c r="B135" i="4"/>
  <c r="C135" i="4"/>
  <c r="D135" i="4"/>
  <c r="E135" i="4"/>
  <c r="F135" i="4"/>
  <c r="G135" i="4"/>
  <c r="H135" i="4"/>
  <c r="I135" i="4"/>
  <c r="B137" i="4"/>
  <c r="C137" i="4"/>
  <c r="D137" i="4"/>
  <c r="E137" i="4"/>
  <c r="F137" i="4"/>
  <c r="G137" i="4"/>
  <c r="H137" i="4"/>
  <c r="I137" i="4"/>
  <c r="B145" i="4"/>
  <c r="C145" i="4"/>
  <c r="D145" i="4"/>
  <c r="E145" i="4"/>
  <c r="F145" i="4"/>
  <c r="G145" i="4"/>
  <c r="H145" i="4"/>
  <c r="I145" i="4"/>
  <c r="B153" i="4"/>
  <c r="C153" i="4"/>
  <c r="D153" i="4"/>
  <c r="E153" i="4"/>
  <c r="F153" i="4"/>
  <c r="G153" i="4"/>
  <c r="H153" i="4"/>
  <c r="I153" i="4"/>
  <c r="B36" i="4"/>
  <c r="C36" i="4"/>
  <c r="D36" i="4"/>
  <c r="E36" i="4"/>
  <c r="F36" i="4"/>
  <c r="G36" i="4"/>
  <c r="H36" i="4"/>
  <c r="I36" i="4"/>
  <c r="B37" i="4"/>
  <c r="C37" i="4"/>
  <c r="D37" i="4"/>
  <c r="E37" i="4"/>
  <c r="F37" i="4"/>
  <c r="G37" i="4"/>
  <c r="H37" i="4"/>
  <c r="I37" i="4"/>
  <c r="B38" i="4"/>
  <c r="C38" i="4"/>
  <c r="D38" i="4"/>
  <c r="E38" i="4"/>
  <c r="F38" i="4"/>
  <c r="G38" i="4"/>
  <c r="H38" i="4"/>
  <c r="I38" i="4"/>
  <c r="B39" i="4"/>
  <c r="C39" i="4"/>
  <c r="D39" i="4"/>
  <c r="E39" i="4"/>
  <c r="F39" i="4"/>
  <c r="G39" i="4"/>
  <c r="H39" i="4"/>
  <c r="I39" i="4"/>
  <c r="B40" i="4"/>
  <c r="C40" i="4"/>
  <c r="D40" i="4"/>
  <c r="E40" i="4"/>
  <c r="F40" i="4"/>
  <c r="G40" i="4"/>
  <c r="H40" i="4"/>
  <c r="I40" i="4"/>
  <c r="B41" i="4"/>
  <c r="C41" i="4"/>
  <c r="D41" i="4"/>
  <c r="E41" i="4"/>
  <c r="F41" i="4"/>
  <c r="G41" i="4"/>
  <c r="H41" i="4"/>
  <c r="I41" i="4"/>
  <c r="B42" i="4"/>
  <c r="C42" i="4"/>
  <c r="D42" i="4"/>
  <c r="E42" i="4"/>
  <c r="F42" i="4"/>
  <c r="G42" i="4"/>
  <c r="H42" i="4"/>
  <c r="I42" i="4"/>
  <c r="B43" i="4"/>
  <c r="C43" i="4"/>
  <c r="D43" i="4"/>
  <c r="E43" i="4"/>
  <c r="F43" i="4"/>
  <c r="G43" i="4"/>
  <c r="H43" i="4"/>
  <c r="I43" i="4"/>
  <c r="B44" i="4"/>
  <c r="C44" i="4"/>
  <c r="D44" i="4"/>
  <c r="E44" i="4"/>
  <c r="F44" i="4"/>
  <c r="G44" i="4"/>
  <c r="H44" i="4"/>
  <c r="I44" i="4"/>
  <c r="B45" i="4"/>
  <c r="C45" i="4"/>
  <c r="D45" i="4"/>
  <c r="E45" i="4"/>
  <c r="F45" i="4"/>
  <c r="G45" i="4"/>
  <c r="H45" i="4"/>
  <c r="I45" i="4"/>
  <c r="B46" i="4"/>
  <c r="C46" i="4"/>
  <c r="D46" i="4"/>
  <c r="E46" i="4"/>
  <c r="F46" i="4"/>
  <c r="G46" i="4"/>
  <c r="H46" i="4"/>
  <c r="I46" i="4"/>
  <c r="B47" i="4"/>
  <c r="C47" i="4"/>
  <c r="D47" i="4"/>
  <c r="E47" i="4"/>
  <c r="F47" i="4"/>
  <c r="G47" i="4"/>
  <c r="H47" i="4"/>
  <c r="I47" i="4"/>
  <c r="B48" i="4"/>
  <c r="C48" i="4"/>
  <c r="D48" i="4"/>
  <c r="E48" i="4"/>
  <c r="F48" i="4"/>
  <c r="G48" i="4"/>
  <c r="H48" i="4"/>
  <c r="I48" i="4"/>
  <c r="B49" i="4"/>
  <c r="C49" i="4"/>
  <c r="D49" i="4"/>
  <c r="E49" i="4"/>
  <c r="F49" i="4"/>
  <c r="G49" i="4"/>
  <c r="H49" i="4"/>
  <c r="I49" i="4"/>
  <c r="B50" i="4"/>
  <c r="C50" i="4"/>
  <c r="D50" i="4"/>
  <c r="E50" i="4"/>
  <c r="F50" i="4"/>
  <c r="G50" i="4"/>
  <c r="H50" i="4"/>
  <c r="I50" i="4"/>
  <c r="B51" i="4"/>
  <c r="C51" i="4"/>
  <c r="D51" i="4"/>
  <c r="E51" i="4"/>
  <c r="F51" i="4"/>
  <c r="G51" i="4"/>
  <c r="H51" i="4"/>
  <c r="I51" i="4"/>
  <c r="B52" i="4"/>
  <c r="C52" i="4"/>
  <c r="D52" i="4"/>
  <c r="E52" i="4"/>
  <c r="F52" i="4"/>
  <c r="G52" i="4"/>
  <c r="H52" i="4"/>
  <c r="I52" i="4"/>
  <c r="B53" i="4"/>
  <c r="C53" i="4"/>
  <c r="D53" i="4"/>
  <c r="E53" i="4"/>
  <c r="F53" i="4"/>
  <c r="G53" i="4"/>
  <c r="H53" i="4"/>
  <c r="I53" i="4"/>
  <c r="B54" i="4"/>
  <c r="C54" i="4"/>
  <c r="D54" i="4"/>
  <c r="E54" i="4"/>
  <c r="F54" i="4"/>
  <c r="G54" i="4"/>
  <c r="H54" i="4"/>
  <c r="I54" i="4"/>
  <c r="B55" i="4"/>
  <c r="C55" i="4"/>
  <c r="D55" i="4"/>
  <c r="E55" i="4"/>
  <c r="F55" i="4"/>
  <c r="G55" i="4"/>
  <c r="H55" i="4"/>
  <c r="I55" i="4"/>
  <c r="B56" i="4"/>
  <c r="C56" i="4"/>
  <c r="D56" i="4"/>
  <c r="E56" i="4"/>
  <c r="F56" i="4"/>
  <c r="G56" i="4"/>
  <c r="H56" i="4"/>
  <c r="I56" i="4"/>
  <c r="B57" i="4"/>
  <c r="C57" i="4"/>
  <c r="D57" i="4"/>
  <c r="E57" i="4"/>
  <c r="F57" i="4"/>
  <c r="G57" i="4"/>
  <c r="H57" i="4"/>
  <c r="I57" i="4"/>
  <c r="B58" i="4"/>
  <c r="C58" i="4"/>
  <c r="D58" i="4"/>
  <c r="E58" i="4"/>
  <c r="F58" i="4"/>
  <c r="G58" i="4"/>
  <c r="H58" i="4"/>
  <c r="I58" i="4"/>
  <c r="B59" i="4"/>
  <c r="C59" i="4"/>
  <c r="D59" i="4"/>
  <c r="E59" i="4"/>
  <c r="F59" i="4"/>
  <c r="G59" i="4"/>
  <c r="H59" i="4"/>
  <c r="I59" i="4"/>
  <c r="B60" i="4"/>
  <c r="C60" i="4"/>
  <c r="D60" i="4"/>
  <c r="E60" i="4"/>
  <c r="F60" i="4"/>
  <c r="G60" i="4"/>
  <c r="H60" i="4"/>
  <c r="I60" i="4"/>
  <c r="B61" i="4"/>
  <c r="C61" i="4"/>
  <c r="D61" i="4"/>
  <c r="E61" i="4"/>
  <c r="F61" i="4"/>
  <c r="G61" i="4"/>
  <c r="H61" i="4"/>
  <c r="I61" i="4"/>
  <c r="B62" i="4"/>
  <c r="C62" i="4"/>
  <c r="D62" i="4"/>
  <c r="E62" i="4"/>
  <c r="F62" i="4"/>
  <c r="G62" i="4"/>
  <c r="H62" i="4"/>
  <c r="I62" i="4"/>
  <c r="B63" i="4"/>
  <c r="C63" i="4"/>
  <c r="D63" i="4"/>
  <c r="E63" i="4"/>
  <c r="F63" i="4"/>
  <c r="G63" i="4"/>
  <c r="H63" i="4"/>
  <c r="I63" i="4"/>
  <c r="B64" i="4"/>
  <c r="C64" i="4"/>
  <c r="D64" i="4"/>
  <c r="E64" i="4"/>
  <c r="F64" i="4"/>
  <c r="G64" i="4"/>
  <c r="H64" i="4"/>
  <c r="I64" i="4"/>
  <c r="B65" i="4"/>
  <c r="C65" i="4"/>
  <c r="D65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B69" i="4"/>
  <c r="C69" i="4"/>
  <c r="D69" i="4"/>
  <c r="E69" i="4"/>
  <c r="F69" i="4"/>
  <c r="G69" i="4"/>
  <c r="H69" i="4"/>
  <c r="I69" i="4"/>
  <c r="B70" i="4"/>
  <c r="C70" i="4"/>
  <c r="D70" i="4"/>
  <c r="E70" i="4"/>
  <c r="F70" i="4"/>
  <c r="G70" i="4"/>
  <c r="H70" i="4"/>
  <c r="I70" i="4"/>
  <c r="B71" i="4"/>
  <c r="C71" i="4"/>
  <c r="D71" i="4"/>
  <c r="E71" i="4"/>
  <c r="F71" i="4"/>
  <c r="G71" i="4"/>
  <c r="H71" i="4"/>
  <c r="I71" i="4"/>
  <c r="B72" i="4"/>
  <c r="C72" i="4"/>
  <c r="D72" i="4"/>
  <c r="E72" i="4"/>
  <c r="F72" i="4"/>
  <c r="G72" i="4"/>
  <c r="H72" i="4"/>
  <c r="I72" i="4"/>
  <c r="B73" i="4"/>
  <c r="C73" i="4"/>
  <c r="D73" i="4"/>
  <c r="E73" i="4"/>
  <c r="F73" i="4"/>
  <c r="G73" i="4"/>
  <c r="H73" i="4"/>
  <c r="I73" i="4"/>
  <c r="B74" i="4"/>
  <c r="C74" i="4"/>
  <c r="D74" i="4"/>
  <c r="E74" i="4"/>
  <c r="F74" i="4"/>
  <c r="G74" i="4"/>
  <c r="H74" i="4"/>
  <c r="I74" i="4"/>
  <c r="B75" i="4"/>
  <c r="C75" i="4"/>
  <c r="D75" i="4"/>
  <c r="E75" i="4"/>
  <c r="F75" i="4"/>
  <c r="G75" i="4"/>
  <c r="H75" i="4"/>
  <c r="I75" i="4"/>
  <c r="B76" i="4"/>
  <c r="C76" i="4"/>
  <c r="D76" i="4"/>
  <c r="E76" i="4"/>
  <c r="F76" i="4"/>
  <c r="G76" i="4"/>
  <c r="H76" i="4"/>
  <c r="I76" i="4"/>
  <c r="B77" i="4"/>
  <c r="C77" i="4"/>
  <c r="D77" i="4"/>
  <c r="E77" i="4"/>
  <c r="F77" i="4"/>
  <c r="G77" i="4"/>
  <c r="H77" i="4"/>
  <c r="I77" i="4"/>
  <c r="B78" i="4"/>
  <c r="C78" i="4"/>
  <c r="D78" i="4"/>
  <c r="E78" i="4"/>
  <c r="F78" i="4"/>
  <c r="G78" i="4"/>
  <c r="H78" i="4"/>
  <c r="I78" i="4"/>
  <c r="B79" i="4"/>
  <c r="C79" i="4"/>
  <c r="D79" i="4"/>
  <c r="E79" i="4"/>
  <c r="F79" i="4"/>
  <c r="G79" i="4"/>
  <c r="H79" i="4"/>
  <c r="I79" i="4"/>
  <c r="B80" i="4"/>
  <c r="C80" i="4"/>
  <c r="D80" i="4"/>
  <c r="E80" i="4"/>
  <c r="F80" i="4"/>
  <c r="G80" i="4"/>
  <c r="H80" i="4"/>
  <c r="I80" i="4"/>
  <c r="B81" i="4"/>
  <c r="C81" i="4"/>
  <c r="D81" i="4"/>
  <c r="E81" i="4"/>
  <c r="F81" i="4"/>
  <c r="G81" i="4"/>
  <c r="H81" i="4"/>
  <c r="I81" i="4"/>
  <c r="B82" i="4"/>
  <c r="C82" i="4"/>
  <c r="D82" i="4"/>
  <c r="E82" i="4"/>
  <c r="F82" i="4"/>
  <c r="G82" i="4"/>
  <c r="H82" i="4"/>
  <c r="I82" i="4"/>
  <c r="B83" i="4"/>
  <c r="C83" i="4"/>
  <c r="D83" i="4"/>
  <c r="E83" i="4"/>
  <c r="F83" i="4"/>
  <c r="G83" i="4"/>
  <c r="H83" i="4"/>
  <c r="I83" i="4"/>
  <c r="B84" i="4"/>
  <c r="C84" i="4"/>
  <c r="D84" i="4"/>
  <c r="E84" i="4"/>
  <c r="F84" i="4"/>
  <c r="G84" i="4"/>
  <c r="H84" i="4"/>
  <c r="I84" i="4"/>
  <c r="B85" i="4"/>
  <c r="C85" i="4"/>
  <c r="D85" i="4"/>
  <c r="E85" i="4"/>
  <c r="F85" i="4"/>
  <c r="G85" i="4"/>
  <c r="H85" i="4"/>
  <c r="I85" i="4"/>
  <c r="B13" i="4"/>
  <c r="C13" i="4"/>
  <c r="D13" i="4"/>
  <c r="E13" i="4"/>
  <c r="F13" i="4"/>
  <c r="G13" i="4"/>
  <c r="H13" i="4"/>
  <c r="I13" i="4"/>
  <c r="B87" i="4"/>
  <c r="C87" i="4"/>
  <c r="D87" i="4"/>
  <c r="E87" i="4"/>
  <c r="F87" i="4"/>
  <c r="G87" i="4"/>
  <c r="H87" i="4"/>
  <c r="I87" i="4"/>
  <c r="B88" i="4"/>
  <c r="C88" i="4"/>
  <c r="D88" i="4"/>
  <c r="E88" i="4"/>
  <c r="F88" i="4"/>
  <c r="G88" i="4"/>
  <c r="H88" i="4"/>
  <c r="I88" i="4"/>
  <c r="B14" i="4"/>
  <c r="C14" i="4"/>
  <c r="D14" i="4"/>
  <c r="E14" i="4"/>
  <c r="F14" i="4"/>
  <c r="G14" i="4"/>
  <c r="H14" i="4"/>
  <c r="I14" i="4"/>
  <c r="B90" i="4"/>
  <c r="C90" i="4"/>
  <c r="D90" i="4"/>
  <c r="E90" i="4"/>
  <c r="F90" i="4"/>
  <c r="G90" i="4"/>
  <c r="H90" i="4"/>
  <c r="I90" i="4"/>
  <c r="B91" i="4"/>
  <c r="C91" i="4"/>
  <c r="D91" i="4"/>
  <c r="E91" i="4"/>
  <c r="F91" i="4"/>
  <c r="G91" i="4"/>
  <c r="H91" i="4"/>
  <c r="I91" i="4"/>
  <c r="B92" i="4"/>
  <c r="C92" i="4"/>
  <c r="D92" i="4"/>
  <c r="E92" i="4"/>
  <c r="F92" i="4"/>
  <c r="G92" i="4"/>
  <c r="H92" i="4"/>
  <c r="I92" i="4"/>
  <c r="B93" i="4"/>
  <c r="C93" i="4"/>
  <c r="D93" i="4"/>
  <c r="E93" i="4"/>
  <c r="F93" i="4"/>
  <c r="G93" i="4"/>
  <c r="H93" i="4"/>
  <c r="I93" i="4"/>
  <c r="B17" i="4"/>
  <c r="C17" i="4"/>
  <c r="D17" i="4"/>
  <c r="E17" i="4"/>
  <c r="F17" i="4"/>
  <c r="G17" i="4"/>
  <c r="H17" i="4"/>
  <c r="I17" i="4"/>
  <c r="B95" i="4"/>
  <c r="C95" i="4"/>
  <c r="D95" i="4"/>
  <c r="E95" i="4"/>
  <c r="F95" i="4"/>
  <c r="G95" i="4"/>
  <c r="H95" i="4"/>
  <c r="I95" i="4"/>
  <c r="B96" i="4"/>
  <c r="C96" i="4"/>
  <c r="D96" i="4"/>
  <c r="E96" i="4"/>
  <c r="F96" i="4"/>
  <c r="G96" i="4"/>
  <c r="H96" i="4"/>
  <c r="I96" i="4"/>
  <c r="B19" i="4"/>
  <c r="C19" i="4"/>
  <c r="D19" i="4"/>
  <c r="E19" i="4"/>
  <c r="F19" i="4"/>
  <c r="G19" i="4"/>
  <c r="H19" i="4"/>
  <c r="I19" i="4"/>
  <c r="B98" i="4"/>
  <c r="C98" i="4"/>
  <c r="D98" i="4"/>
  <c r="E98" i="4"/>
  <c r="F98" i="4"/>
  <c r="G98" i="4"/>
  <c r="H98" i="4"/>
  <c r="I98" i="4"/>
  <c r="B99" i="4"/>
  <c r="C99" i="4"/>
  <c r="D99" i="4"/>
  <c r="E99" i="4"/>
  <c r="F99" i="4"/>
  <c r="G99" i="4"/>
  <c r="H99" i="4"/>
  <c r="I99" i="4"/>
  <c r="B20" i="4"/>
  <c r="C20" i="4"/>
  <c r="D20" i="4"/>
  <c r="E20" i="4"/>
  <c r="F20" i="4"/>
  <c r="G20" i="4"/>
  <c r="H20" i="4"/>
  <c r="I20" i="4"/>
  <c r="B101" i="4"/>
  <c r="C101" i="4"/>
  <c r="D101" i="4"/>
  <c r="E101" i="4"/>
  <c r="F101" i="4"/>
  <c r="G101" i="4"/>
  <c r="H101" i="4"/>
  <c r="I101" i="4"/>
  <c r="B102" i="4"/>
  <c r="C102" i="4"/>
  <c r="D102" i="4"/>
  <c r="E102" i="4"/>
  <c r="F102" i="4"/>
  <c r="G102" i="4"/>
  <c r="H102" i="4"/>
  <c r="I102" i="4"/>
  <c r="B103" i="4"/>
  <c r="C103" i="4"/>
  <c r="D103" i="4"/>
  <c r="E103" i="4"/>
  <c r="F103" i="4"/>
  <c r="G103" i="4"/>
  <c r="H103" i="4"/>
  <c r="I103" i="4"/>
  <c r="B104" i="4"/>
  <c r="C104" i="4"/>
  <c r="D104" i="4"/>
  <c r="E104" i="4"/>
  <c r="F104" i="4"/>
  <c r="G104" i="4"/>
  <c r="H104" i="4"/>
  <c r="I104" i="4"/>
  <c r="B105" i="4"/>
  <c r="C105" i="4"/>
  <c r="D105" i="4"/>
  <c r="E105" i="4"/>
  <c r="F105" i="4"/>
  <c r="G105" i="4"/>
  <c r="H105" i="4"/>
  <c r="I105" i="4"/>
  <c r="B21" i="4"/>
  <c r="C21" i="4"/>
  <c r="D21" i="4"/>
  <c r="E21" i="4"/>
  <c r="F21" i="4"/>
  <c r="G21" i="4"/>
  <c r="H21" i="4"/>
  <c r="I21" i="4"/>
  <c r="B107" i="4"/>
  <c r="C107" i="4"/>
  <c r="D107" i="4"/>
  <c r="E107" i="4"/>
  <c r="F107" i="4"/>
  <c r="G107" i="4"/>
  <c r="H107" i="4"/>
  <c r="I107" i="4"/>
  <c r="B108" i="4"/>
  <c r="C108" i="4"/>
  <c r="D108" i="4"/>
  <c r="E108" i="4"/>
  <c r="F108" i="4"/>
  <c r="G108" i="4"/>
  <c r="H108" i="4"/>
  <c r="I108" i="4"/>
  <c r="B109" i="4"/>
  <c r="C109" i="4"/>
  <c r="D109" i="4"/>
  <c r="E109" i="4"/>
  <c r="F109" i="4"/>
  <c r="G109" i="4"/>
  <c r="H109" i="4"/>
  <c r="I109" i="4"/>
  <c r="B23" i="4"/>
  <c r="C23" i="4"/>
  <c r="D23" i="4"/>
  <c r="E23" i="4"/>
  <c r="F23" i="4"/>
  <c r="G23" i="4"/>
  <c r="H23" i="4"/>
  <c r="I23" i="4"/>
  <c r="B111" i="4"/>
  <c r="C111" i="4"/>
  <c r="D111" i="4"/>
  <c r="E111" i="4"/>
  <c r="F111" i="4"/>
  <c r="G111" i="4"/>
  <c r="H111" i="4"/>
  <c r="I111" i="4"/>
  <c r="B112" i="4"/>
  <c r="C112" i="4"/>
  <c r="D112" i="4"/>
  <c r="E112" i="4"/>
  <c r="F112" i="4"/>
  <c r="G112" i="4"/>
  <c r="H112" i="4"/>
  <c r="I112" i="4"/>
  <c r="B26" i="4"/>
  <c r="C26" i="4"/>
  <c r="D26" i="4"/>
  <c r="E26" i="4"/>
  <c r="F26" i="4"/>
  <c r="G26" i="4"/>
  <c r="H26" i="4"/>
  <c r="I26" i="4"/>
  <c r="B27" i="4"/>
  <c r="C27" i="4"/>
  <c r="D27" i="4"/>
  <c r="E27" i="4"/>
  <c r="F27" i="4"/>
  <c r="G27" i="4"/>
  <c r="H27" i="4"/>
  <c r="I27" i="4"/>
  <c r="B115" i="4"/>
  <c r="C115" i="4"/>
  <c r="D115" i="4"/>
  <c r="E115" i="4"/>
  <c r="F115" i="4"/>
  <c r="G115" i="4"/>
  <c r="H115" i="4"/>
  <c r="I115" i="4"/>
  <c r="B116" i="4"/>
  <c r="C116" i="4"/>
  <c r="D116" i="4"/>
  <c r="E116" i="4"/>
  <c r="F116" i="4"/>
  <c r="G116" i="4"/>
  <c r="H116" i="4"/>
  <c r="I116" i="4"/>
  <c r="B86" i="4"/>
  <c r="C86" i="4"/>
  <c r="D86" i="4"/>
  <c r="E86" i="4"/>
  <c r="F86" i="4"/>
  <c r="G86" i="4"/>
  <c r="H86" i="4"/>
  <c r="I86" i="4"/>
  <c r="B118" i="4"/>
  <c r="C118" i="4"/>
  <c r="D118" i="4"/>
  <c r="E118" i="4"/>
  <c r="F118" i="4"/>
  <c r="G118" i="4"/>
  <c r="H118" i="4"/>
  <c r="I118" i="4"/>
  <c r="B89" i="4"/>
  <c r="C89" i="4"/>
  <c r="D89" i="4"/>
  <c r="E89" i="4"/>
  <c r="F89" i="4"/>
  <c r="G89" i="4"/>
  <c r="H89" i="4"/>
  <c r="I89" i="4"/>
  <c r="B120" i="4"/>
  <c r="C120" i="4"/>
  <c r="D120" i="4"/>
  <c r="E120" i="4"/>
  <c r="F120" i="4"/>
  <c r="G120" i="4"/>
  <c r="H120" i="4"/>
  <c r="I120" i="4"/>
  <c r="B94" i="4"/>
  <c r="C94" i="4"/>
  <c r="D94" i="4"/>
  <c r="E94" i="4"/>
  <c r="F94" i="4"/>
  <c r="G94" i="4"/>
  <c r="H94" i="4"/>
  <c r="I94" i="4"/>
  <c r="B122" i="4"/>
  <c r="C122" i="4"/>
  <c r="D122" i="4"/>
  <c r="E122" i="4"/>
  <c r="F122" i="4"/>
  <c r="G122" i="4"/>
  <c r="H122" i="4"/>
  <c r="I122" i="4"/>
  <c r="B123" i="4"/>
  <c r="C123" i="4"/>
  <c r="D123" i="4"/>
  <c r="E123" i="4"/>
  <c r="F123" i="4"/>
  <c r="G123" i="4"/>
  <c r="H123" i="4"/>
  <c r="I123" i="4"/>
  <c r="B124" i="4"/>
  <c r="C124" i="4"/>
  <c r="D124" i="4"/>
  <c r="E124" i="4"/>
  <c r="F124" i="4"/>
  <c r="G124" i="4"/>
  <c r="H124" i="4"/>
  <c r="I124" i="4"/>
  <c r="B125" i="4"/>
  <c r="C125" i="4"/>
  <c r="D125" i="4"/>
  <c r="E125" i="4"/>
  <c r="F125" i="4"/>
  <c r="G125" i="4"/>
  <c r="H125" i="4"/>
  <c r="I125" i="4"/>
  <c r="B126" i="4"/>
  <c r="C126" i="4"/>
  <c r="D126" i="4"/>
  <c r="E126" i="4"/>
  <c r="F126" i="4"/>
  <c r="G126" i="4"/>
  <c r="H126" i="4"/>
  <c r="I126" i="4"/>
  <c r="B106" i="4"/>
  <c r="C106" i="4"/>
  <c r="D106" i="4"/>
  <c r="E106" i="4"/>
  <c r="F106" i="4"/>
  <c r="G106" i="4"/>
  <c r="H106" i="4"/>
  <c r="I106" i="4"/>
  <c r="B128" i="4"/>
  <c r="C128" i="4"/>
  <c r="D128" i="4"/>
  <c r="E128" i="4"/>
  <c r="F128" i="4"/>
  <c r="G128" i="4"/>
  <c r="H128" i="4"/>
  <c r="I128" i="4"/>
  <c r="B129" i="4"/>
  <c r="C129" i="4"/>
  <c r="D129" i="4"/>
  <c r="E129" i="4"/>
  <c r="F129" i="4"/>
  <c r="G129" i="4"/>
  <c r="H129" i="4"/>
  <c r="I129" i="4"/>
  <c r="B130" i="4"/>
  <c r="C130" i="4"/>
  <c r="D130" i="4"/>
  <c r="E130" i="4"/>
  <c r="F130" i="4"/>
  <c r="G130" i="4"/>
  <c r="H130" i="4"/>
  <c r="I130" i="4"/>
  <c r="B114" i="4"/>
  <c r="C114" i="4"/>
  <c r="D114" i="4"/>
  <c r="E114" i="4"/>
  <c r="F114" i="4"/>
  <c r="G114" i="4"/>
  <c r="H114" i="4"/>
  <c r="I114" i="4"/>
  <c r="B132" i="4"/>
  <c r="C132" i="4"/>
  <c r="D132" i="4"/>
  <c r="E132" i="4"/>
  <c r="F132" i="4"/>
  <c r="G132" i="4"/>
  <c r="H132" i="4"/>
  <c r="I132" i="4"/>
  <c r="B133" i="4"/>
  <c r="C133" i="4"/>
  <c r="D133" i="4"/>
  <c r="E133" i="4"/>
  <c r="F133" i="4"/>
  <c r="G133" i="4"/>
  <c r="H133" i="4"/>
  <c r="I133" i="4"/>
  <c r="B134" i="4"/>
  <c r="C134" i="4"/>
  <c r="D134" i="4"/>
  <c r="E134" i="4"/>
  <c r="F134" i="4"/>
  <c r="G134" i="4"/>
  <c r="H134" i="4"/>
  <c r="I134" i="4"/>
  <c r="B121" i="4"/>
  <c r="C121" i="4"/>
  <c r="D121" i="4"/>
  <c r="E121" i="4"/>
  <c r="F121" i="4"/>
  <c r="G121" i="4"/>
  <c r="H121" i="4"/>
  <c r="I121" i="4"/>
  <c r="B136" i="4"/>
  <c r="C136" i="4"/>
  <c r="D136" i="4"/>
  <c r="E136" i="4"/>
  <c r="F136" i="4"/>
  <c r="G136" i="4"/>
  <c r="H136" i="4"/>
  <c r="I136" i="4"/>
  <c r="B127" i="4"/>
  <c r="C127" i="4"/>
  <c r="D127" i="4"/>
  <c r="E127" i="4"/>
  <c r="F127" i="4"/>
  <c r="G127" i="4"/>
  <c r="H127" i="4"/>
  <c r="I127" i="4"/>
  <c r="B131" i="4"/>
  <c r="C131" i="4"/>
  <c r="D131" i="4"/>
  <c r="E131" i="4"/>
  <c r="F131" i="4"/>
  <c r="G131" i="4"/>
  <c r="H131" i="4"/>
  <c r="I131" i="4"/>
  <c r="B139" i="4"/>
  <c r="C139" i="4"/>
  <c r="D139" i="4"/>
  <c r="E139" i="4"/>
  <c r="F139" i="4"/>
  <c r="G139" i="4"/>
  <c r="H139" i="4"/>
  <c r="I139" i="4"/>
  <c r="B140" i="4"/>
  <c r="C140" i="4"/>
  <c r="D140" i="4"/>
  <c r="E140" i="4"/>
  <c r="F140" i="4"/>
  <c r="G140" i="4"/>
  <c r="H140" i="4"/>
  <c r="I140" i="4"/>
  <c r="B141" i="4"/>
  <c r="D141" i="4"/>
  <c r="E141" i="4"/>
  <c r="F141" i="4"/>
  <c r="G141" i="4"/>
  <c r="H141" i="4"/>
  <c r="I141" i="4"/>
  <c r="B138" i="4"/>
  <c r="C138" i="4"/>
  <c r="D138" i="4"/>
  <c r="E138" i="4"/>
  <c r="F138" i="4"/>
  <c r="G138" i="4"/>
  <c r="H138" i="4"/>
  <c r="I138" i="4"/>
  <c r="B142" i="4"/>
  <c r="C142" i="4"/>
  <c r="D142" i="4"/>
  <c r="E142" i="4"/>
  <c r="F142" i="4"/>
  <c r="G142" i="4"/>
  <c r="H142" i="4"/>
  <c r="I142" i="4"/>
  <c r="B144" i="4"/>
  <c r="C144" i="4"/>
  <c r="D144" i="4"/>
  <c r="E144" i="4"/>
  <c r="F144" i="4"/>
  <c r="G144" i="4"/>
  <c r="H144" i="4"/>
  <c r="I144" i="4"/>
  <c r="B143" i="4"/>
  <c r="C143" i="4"/>
  <c r="D143" i="4"/>
  <c r="E143" i="4"/>
  <c r="F143" i="4"/>
  <c r="G143" i="4"/>
  <c r="H143" i="4"/>
  <c r="I143" i="4"/>
  <c r="B146" i="4"/>
  <c r="C146" i="4"/>
  <c r="D146" i="4"/>
  <c r="E146" i="4"/>
  <c r="F146" i="4"/>
  <c r="G146" i="4"/>
  <c r="H146" i="4"/>
  <c r="I146" i="4"/>
  <c r="B147" i="4"/>
  <c r="C147" i="4"/>
  <c r="D147" i="4"/>
  <c r="E147" i="4"/>
  <c r="F147" i="4"/>
  <c r="G147" i="4"/>
  <c r="H147" i="4"/>
  <c r="I147" i="4"/>
  <c r="B148" i="4"/>
  <c r="C148" i="4"/>
  <c r="D148" i="4"/>
  <c r="E148" i="4"/>
  <c r="F148" i="4"/>
  <c r="G148" i="4"/>
  <c r="H148" i="4"/>
  <c r="I148" i="4"/>
  <c r="B149" i="4"/>
  <c r="C149" i="4"/>
  <c r="D149" i="4"/>
  <c r="E149" i="4"/>
  <c r="F149" i="4"/>
  <c r="G149" i="4"/>
  <c r="H149" i="4"/>
  <c r="I149" i="4"/>
  <c r="B150" i="4"/>
  <c r="C150" i="4"/>
  <c r="D150" i="4"/>
  <c r="E150" i="4"/>
  <c r="F150" i="4"/>
  <c r="G150" i="4"/>
  <c r="H150" i="4"/>
  <c r="I150" i="4"/>
  <c r="B151" i="4"/>
  <c r="C151" i="4"/>
  <c r="D151" i="4"/>
  <c r="E151" i="4"/>
  <c r="F151" i="4"/>
  <c r="G151" i="4"/>
  <c r="H151" i="4"/>
  <c r="I151" i="4"/>
  <c r="B152" i="4"/>
  <c r="C152" i="4"/>
  <c r="D152" i="4"/>
  <c r="E152" i="4"/>
  <c r="F152" i="4"/>
  <c r="G152" i="4"/>
  <c r="H152" i="4"/>
  <c r="I152" i="4"/>
  <c r="B22" i="4"/>
  <c r="C22" i="4"/>
  <c r="D22" i="4"/>
  <c r="E22" i="4"/>
  <c r="F22" i="4"/>
  <c r="G22" i="4"/>
  <c r="H22" i="4"/>
  <c r="I22" i="4"/>
  <c r="B154" i="4"/>
  <c r="D154" i="4"/>
  <c r="E154" i="4"/>
  <c r="F154" i="4"/>
  <c r="G154" i="4"/>
  <c r="H154" i="4"/>
  <c r="I154" i="4"/>
  <c r="B155" i="4"/>
  <c r="D155" i="4"/>
  <c r="E155" i="4"/>
  <c r="F155" i="4"/>
  <c r="G155" i="4"/>
  <c r="H155" i="4"/>
  <c r="I155" i="4"/>
  <c r="B156" i="4"/>
  <c r="C156" i="4"/>
  <c r="E156" i="4"/>
  <c r="F156" i="4"/>
  <c r="G156" i="4"/>
  <c r="H156" i="4"/>
  <c r="I156" i="4"/>
  <c r="B157" i="4"/>
  <c r="C157" i="4"/>
  <c r="D157" i="4"/>
  <c r="E157" i="4"/>
  <c r="F157" i="4"/>
  <c r="G157" i="4"/>
  <c r="H157" i="4"/>
  <c r="I157" i="4"/>
  <c r="B158" i="4"/>
  <c r="C158" i="4"/>
  <c r="D158" i="4"/>
  <c r="E158" i="4"/>
  <c r="F158" i="4"/>
  <c r="G158" i="4"/>
  <c r="H158" i="4"/>
  <c r="I158" i="4"/>
  <c r="B159" i="4"/>
  <c r="C159" i="4"/>
  <c r="D159" i="4"/>
  <c r="E159" i="4"/>
  <c r="F159" i="4"/>
  <c r="G159" i="4"/>
  <c r="H159" i="4"/>
  <c r="I159" i="4"/>
  <c r="B160" i="4"/>
  <c r="C160" i="4"/>
  <c r="D160" i="4"/>
  <c r="E160" i="4"/>
  <c r="F160" i="4"/>
  <c r="G160" i="4"/>
  <c r="H160" i="4"/>
  <c r="I160" i="4"/>
  <c r="B161" i="4"/>
  <c r="C161" i="4"/>
  <c r="D161" i="4"/>
  <c r="E161" i="4"/>
  <c r="F161" i="4"/>
  <c r="G161" i="4"/>
  <c r="H161" i="4"/>
  <c r="I161" i="4"/>
  <c r="B162" i="4"/>
  <c r="C162" i="4"/>
  <c r="D162" i="4"/>
  <c r="E162" i="4"/>
  <c r="F162" i="4"/>
  <c r="G162" i="4"/>
  <c r="H162" i="4"/>
  <c r="I162" i="4"/>
  <c r="B163" i="4"/>
  <c r="C163" i="4"/>
  <c r="D163" i="4"/>
  <c r="E163" i="4"/>
  <c r="F163" i="4"/>
  <c r="G163" i="4"/>
  <c r="H163" i="4"/>
  <c r="I163" i="4"/>
  <c r="B164" i="4"/>
  <c r="C164" i="4"/>
  <c r="D164" i="4"/>
  <c r="E164" i="4"/>
  <c r="F164" i="4"/>
  <c r="G164" i="4"/>
  <c r="H164" i="4"/>
  <c r="I164" i="4"/>
  <c r="B165" i="4"/>
  <c r="C165" i="4"/>
  <c r="D165" i="4"/>
  <c r="E165" i="4"/>
  <c r="F165" i="4"/>
  <c r="G165" i="4"/>
  <c r="H165" i="4"/>
  <c r="I165" i="4"/>
  <c r="B166" i="4"/>
  <c r="C166" i="4"/>
  <c r="D166" i="4"/>
  <c r="E166" i="4"/>
  <c r="F166" i="4"/>
  <c r="G166" i="4"/>
  <c r="H166" i="4"/>
  <c r="I166" i="4"/>
  <c r="B167" i="4"/>
  <c r="C167" i="4"/>
  <c r="D167" i="4"/>
  <c r="E167" i="4"/>
  <c r="F167" i="4"/>
  <c r="G167" i="4"/>
  <c r="H167" i="4"/>
  <c r="I167" i="4"/>
  <c r="B168" i="4"/>
  <c r="C168" i="4"/>
  <c r="D168" i="4"/>
  <c r="E168" i="4"/>
  <c r="F168" i="4"/>
  <c r="G168" i="4"/>
  <c r="H168" i="4"/>
  <c r="I168" i="4"/>
  <c r="B169" i="4"/>
  <c r="C169" i="4"/>
  <c r="D169" i="4"/>
  <c r="E169" i="4"/>
  <c r="F169" i="4"/>
  <c r="G169" i="4"/>
  <c r="H169" i="4"/>
  <c r="I169" i="4"/>
  <c r="B170" i="4"/>
  <c r="C170" i="4"/>
  <c r="D170" i="4"/>
  <c r="E170" i="4"/>
  <c r="F170" i="4"/>
  <c r="G170" i="4"/>
  <c r="H170" i="4"/>
  <c r="I170" i="4"/>
  <c r="B171" i="4"/>
  <c r="C171" i="4"/>
  <c r="D171" i="4"/>
  <c r="E171" i="4"/>
  <c r="F171" i="4"/>
  <c r="G171" i="4"/>
  <c r="H171" i="4"/>
  <c r="I171" i="4"/>
  <c r="B172" i="4"/>
  <c r="C172" i="4"/>
  <c r="D172" i="4"/>
  <c r="E172" i="4"/>
  <c r="F172" i="4"/>
  <c r="G172" i="4"/>
  <c r="H172" i="4"/>
  <c r="I172" i="4"/>
  <c r="B173" i="4"/>
  <c r="C173" i="4"/>
  <c r="D173" i="4"/>
  <c r="E173" i="4"/>
  <c r="F173" i="4"/>
  <c r="G173" i="4"/>
  <c r="H173" i="4"/>
  <c r="I173" i="4"/>
  <c r="B174" i="4"/>
  <c r="C174" i="4"/>
  <c r="D174" i="4"/>
  <c r="E174" i="4"/>
  <c r="F174" i="4"/>
  <c r="G174" i="4"/>
  <c r="H174" i="4"/>
  <c r="I174" i="4"/>
  <c r="B175" i="4"/>
  <c r="C175" i="4"/>
  <c r="D175" i="4"/>
  <c r="E175" i="4"/>
  <c r="F175" i="4"/>
  <c r="G175" i="4"/>
  <c r="H175" i="4"/>
  <c r="I175" i="4"/>
  <c r="B176" i="4"/>
  <c r="C176" i="4"/>
  <c r="D176" i="4"/>
  <c r="E176" i="4"/>
  <c r="F176" i="4"/>
  <c r="G176" i="4"/>
  <c r="H176" i="4"/>
  <c r="I176" i="4"/>
  <c r="B177" i="4"/>
  <c r="C177" i="4"/>
  <c r="D177" i="4"/>
  <c r="E177" i="4"/>
  <c r="F177" i="4"/>
  <c r="G177" i="4"/>
  <c r="H177" i="4"/>
  <c r="I177" i="4"/>
  <c r="B178" i="4"/>
  <c r="C178" i="4"/>
  <c r="D178" i="4"/>
  <c r="E178" i="4"/>
  <c r="F178" i="4"/>
  <c r="G178" i="4"/>
  <c r="H178" i="4"/>
  <c r="I178" i="4"/>
  <c r="B179" i="4"/>
  <c r="C179" i="4"/>
  <c r="D179" i="4"/>
  <c r="E179" i="4"/>
  <c r="F179" i="4"/>
  <c r="G179" i="4"/>
  <c r="H179" i="4"/>
  <c r="I179" i="4"/>
  <c r="B180" i="4"/>
  <c r="C180" i="4"/>
  <c r="D180" i="4"/>
  <c r="E180" i="4"/>
  <c r="F180" i="4"/>
  <c r="G180" i="4"/>
  <c r="H180" i="4"/>
  <c r="I180" i="4"/>
  <c r="B181" i="4"/>
  <c r="C181" i="4"/>
  <c r="D181" i="4"/>
  <c r="E181" i="4"/>
  <c r="F181" i="4"/>
  <c r="G181" i="4"/>
  <c r="H181" i="4"/>
  <c r="I181" i="4"/>
  <c r="B182" i="4"/>
  <c r="C182" i="4"/>
  <c r="D182" i="4"/>
  <c r="E182" i="4"/>
  <c r="F182" i="4"/>
  <c r="G182" i="4"/>
  <c r="H182" i="4"/>
  <c r="I182" i="4"/>
  <c r="B183" i="4"/>
  <c r="C183" i="4"/>
  <c r="D183" i="4"/>
  <c r="E183" i="4"/>
  <c r="F183" i="4"/>
  <c r="G183" i="4"/>
  <c r="H183" i="4"/>
  <c r="I183" i="4"/>
  <c r="B184" i="4"/>
  <c r="C184" i="4"/>
  <c r="D184" i="4"/>
  <c r="E184" i="4"/>
  <c r="F184" i="4"/>
  <c r="G184" i="4"/>
  <c r="H184" i="4"/>
  <c r="I184" i="4"/>
  <c r="B185" i="4"/>
  <c r="C185" i="4"/>
  <c r="D185" i="4"/>
  <c r="E185" i="4"/>
  <c r="F185" i="4"/>
  <c r="G185" i="4"/>
  <c r="H185" i="4"/>
  <c r="I185" i="4"/>
  <c r="B186" i="4"/>
  <c r="C186" i="4"/>
  <c r="D186" i="4"/>
  <c r="E186" i="4"/>
  <c r="F186" i="4"/>
  <c r="G186" i="4"/>
  <c r="H186" i="4"/>
  <c r="I186" i="4"/>
  <c r="B187" i="4"/>
  <c r="C187" i="4"/>
  <c r="D187" i="4"/>
  <c r="E187" i="4"/>
  <c r="F187" i="4"/>
  <c r="G187" i="4"/>
  <c r="H187" i="4"/>
  <c r="I187" i="4"/>
  <c r="B188" i="4"/>
  <c r="C188" i="4"/>
  <c r="D188" i="4"/>
  <c r="E188" i="4"/>
  <c r="F188" i="4"/>
  <c r="G188" i="4"/>
  <c r="H188" i="4"/>
  <c r="I188" i="4"/>
  <c r="B189" i="4"/>
  <c r="C189" i="4"/>
  <c r="D189" i="4"/>
  <c r="E189" i="4"/>
  <c r="F189" i="4"/>
  <c r="G189" i="4"/>
  <c r="H189" i="4"/>
  <c r="I189" i="4"/>
  <c r="B190" i="4"/>
  <c r="C190" i="4"/>
  <c r="D190" i="4"/>
  <c r="E190" i="4"/>
  <c r="F190" i="4"/>
  <c r="G190" i="4"/>
  <c r="H190" i="4"/>
  <c r="I190" i="4"/>
  <c r="B191" i="4"/>
  <c r="C191" i="4"/>
  <c r="D191" i="4"/>
  <c r="E191" i="4"/>
  <c r="F191" i="4"/>
  <c r="G191" i="4"/>
  <c r="H191" i="4"/>
  <c r="I191" i="4"/>
  <c r="B192" i="4"/>
  <c r="C192" i="4"/>
  <c r="D192" i="4"/>
  <c r="E192" i="4"/>
  <c r="F192" i="4"/>
  <c r="G192" i="4"/>
  <c r="H192" i="4"/>
  <c r="I192" i="4"/>
  <c r="B193" i="4"/>
  <c r="C193" i="4"/>
  <c r="D193" i="4"/>
  <c r="E193" i="4"/>
  <c r="F193" i="4"/>
  <c r="G193" i="4"/>
  <c r="H193" i="4"/>
  <c r="I193" i="4"/>
  <c r="B194" i="4"/>
  <c r="C194" i="4"/>
  <c r="D194" i="4"/>
  <c r="E194" i="4"/>
  <c r="F194" i="4"/>
  <c r="G194" i="4"/>
  <c r="H194" i="4"/>
  <c r="I194" i="4"/>
  <c r="B195" i="4"/>
  <c r="C195" i="4"/>
  <c r="D195" i="4"/>
  <c r="E195" i="4"/>
  <c r="F195" i="4"/>
  <c r="G195" i="4"/>
  <c r="H195" i="4"/>
  <c r="I195" i="4"/>
  <c r="B196" i="4"/>
  <c r="C196" i="4"/>
  <c r="D196" i="4"/>
  <c r="E196" i="4"/>
  <c r="F196" i="4"/>
  <c r="G196" i="4"/>
  <c r="H196" i="4"/>
  <c r="I196" i="4"/>
  <c r="B197" i="4"/>
  <c r="C197" i="4"/>
  <c r="D197" i="4"/>
  <c r="E197" i="4"/>
  <c r="F197" i="4"/>
  <c r="G197" i="4"/>
  <c r="H197" i="4"/>
  <c r="I197" i="4"/>
  <c r="B198" i="4"/>
  <c r="C198" i="4"/>
  <c r="D198" i="4"/>
  <c r="E198" i="4"/>
  <c r="F198" i="4"/>
  <c r="G198" i="4"/>
  <c r="H198" i="4"/>
  <c r="I198" i="4"/>
  <c r="B199" i="4"/>
  <c r="C199" i="4"/>
  <c r="D199" i="4"/>
  <c r="E199" i="4"/>
  <c r="F199" i="4"/>
  <c r="G199" i="4"/>
  <c r="H199" i="4"/>
  <c r="I199" i="4"/>
  <c r="B200" i="4"/>
  <c r="C200" i="4"/>
  <c r="D200" i="4"/>
  <c r="E200" i="4"/>
  <c r="F200" i="4"/>
  <c r="G200" i="4"/>
  <c r="H200" i="4"/>
  <c r="I200" i="4"/>
  <c r="B201" i="4"/>
  <c r="C201" i="4"/>
  <c r="D201" i="4"/>
  <c r="E201" i="4"/>
  <c r="F201" i="4"/>
  <c r="G201" i="4"/>
  <c r="H201" i="4"/>
  <c r="I201" i="4"/>
  <c r="B202" i="4"/>
  <c r="C202" i="4"/>
  <c r="D202" i="4"/>
  <c r="E202" i="4"/>
  <c r="F202" i="4"/>
  <c r="G202" i="4"/>
  <c r="H202" i="4"/>
  <c r="I202" i="4"/>
  <c r="B203" i="4"/>
  <c r="C203" i="4"/>
  <c r="D203" i="4"/>
  <c r="E203" i="4"/>
  <c r="F203" i="4"/>
  <c r="G203" i="4"/>
  <c r="H203" i="4"/>
  <c r="I203" i="4"/>
  <c r="B204" i="4"/>
  <c r="C204" i="4"/>
  <c r="D204" i="4"/>
  <c r="E204" i="4"/>
  <c r="F204" i="4"/>
  <c r="G204" i="4"/>
  <c r="H204" i="4"/>
  <c r="I204" i="4"/>
  <c r="B205" i="4"/>
  <c r="C205" i="4"/>
  <c r="D205" i="4"/>
  <c r="E205" i="4"/>
  <c r="F205" i="4"/>
  <c r="G205" i="4"/>
  <c r="H205" i="4"/>
  <c r="I205" i="4"/>
  <c r="B206" i="4"/>
  <c r="C206" i="4"/>
  <c r="D206" i="4"/>
  <c r="E206" i="4"/>
  <c r="F206" i="4"/>
  <c r="G206" i="4"/>
  <c r="H206" i="4"/>
  <c r="I206" i="4"/>
  <c r="B207" i="4"/>
  <c r="C207" i="4"/>
  <c r="D207" i="4"/>
  <c r="E207" i="4"/>
  <c r="F207" i="4"/>
  <c r="G207" i="4"/>
  <c r="H207" i="4"/>
  <c r="I207" i="4"/>
  <c r="B208" i="4"/>
  <c r="C208" i="4"/>
  <c r="D208" i="4"/>
  <c r="E208" i="4"/>
  <c r="F208" i="4"/>
  <c r="G208" i="4"/>
  <c r="H208" i="4"/>
  <c r="I208" i="4"/>
  <c r="B209" i="4"/>
  <c r="C209" i="4"/>
  <c r="D209" i="4"/>
  <c r="E209" i="4"/>
  <c r="F209" i="4"/>
  <c r="G209" i="4"/>
  <c r="H209" i="4"/>
  <c r="I209" i="4"/>
  <c r="B210" i="4"/>
  <c r="C210" i="4"/>
  <c r="D210" i="4"/>
  <c r="E210" i="4"/>
  <c r="F210" i="4"/>
  <c r="G210" i="4"/>
  <c r="H210" i="4"/>
  <c r="I210" i="4"/>
  <c r="B211" i="4"/>
  <c r="C211" i="4"/>
  <c r="D211" i="4"/>
  <c r="E211" i="4"/>
  <c r="F211" i="4"/>
  <c r="G211" i="4"/>
  <c r="H211" i="4"/>
  <c r="I211" i="4"/>
  <c r="B212" i="4"/>
  <c r="C212" i="4"/>
  <c r="D212" i="4"/>
  <c r="E212" i="4"/>
  <c r="F212" i="4"/>
  <c r="G212" i="4"/>
  <c r="H212" i="4"/>
  <c r="I212" i="4"/>
  <c r="B213" i="4"/>
  <c r="C213" i="4"/>
  <c r="D213" i="4"/>
  <c r="E213" i="4"/>
  <c r="F213" i="4"/>
  <c r="G213" i="4"/>
  <c r="H213" i="4"/>
  <c r="I213" i="4"/>
  <c r="B214" i="4"/>
  <c r="C214" i="4"/>
  <c r="D214" i="4"/>
  <c r="E214" i="4"/>
  <c r="F214" i="4"/>
  <c r="G214" i="4"/>
  <c r="H214" i="4"/>
  <c r="I214" i="4"/>
  <c r="B215" i="4"/>
  <c r="C215" i="4"/>
  <c r="D215" i="4"/>
  <c r="E215" i="4"/>
  <c r="F215" i="4"/>
  <c r="G215" i="4"/>
  <c r="H215" i="4"/>
  <c r="I215" i="4"/>
  <c r="B216" i="4"/>
  <c r="C216" i="4"/>
  <c r="D216" i="4"/>
  <c r="E216" i="4"/>
  <c r="F216" i="4"/>
  <c r="G216" i="4"/>
  <c r="H216" i="4"/>
  <c r="I216" i="4"/>
  <c r="B217" i="4"/>
  <c r="C217" i="4"/>
  <c r="D217" i="4"/>
  <c r="E217" i="4"/>
  <c r="F217" i="4"/>
  <c r="G217" i="4"/>
  <c r="H217" i="4"/>
  <c r="I217" i="4"/>
  <c r="B218" i="4"/>
  <c r="C218" i="4"/>
  <c r="D218" i="4"/>
  <c r="E218" i="4"/>
  <c r="F218" i="4"/>
  <c r="G218" i="4"/>
  <c r="H218" i="4"/>
  <c r="I218" i="4"/>
  <c r="B219" i="4"/>
  <c r="C219" i="4"/>
  <c r="D219" i="4"/>
  <c r="E219" i="4"/>
  <c r="F219" i="4"/>
  <c r="G219" i="4"/>
  <c r="H219" i="4"/>
  <c r="I219" i="4"/>
  <c r="B220" i="4"/>
  <c r="C220" i="4"/>
  <c r="D220" i="4"/>
  <c r="E220" i="4"/>
  <c r="F220" i="4"/>
  <c r="G220" i="4"/>
  <c r="H220" i="4"/>
  <c r="I220" i="4"/>
  <c r="B221" i="4"/>
  <c r="C221" i="4"/>
  <c r="D221" i="4"/>
  <c r="E221" i="4"/>
  <c r="F221" i="4"/>
  <c r="G221" i="4"/>
  <c r="H221" i="4"/>
  <c r="I221" i="4"/>
  <c r="B222" i="4"/>
  <c r="C222" i="4"/>
  <c r="D222" i="4"/>
  <c r="E222" i="4"/>
  <c r="F222" i="4"/>
  <c r="G222" i="4"/>
  <c r="H222" i="4"/>
  <c r="I222" i="4"/>
  <c r="B223" i="4"/>
  <c r="C223" i="4"/>
  <c r="D223" i="4"/>
  <c r="E223" i="4"/>
  <c r="F223" i="4"/>
  <c r="G223" i="4"/>
  <c r="H223" i="4"/>
  <c r="I223" i="4"/>
  <c r="B224" i="4"/>
  <c r="C224" i="4"/>
  <c r="D224" i="4"/>
  <c r="E224" i="4"/>
  <c r="F224" i="4"/>
  <c r="G224" i="4"/>
  <c r="H224" i="4"/>
  <c r="I224" i="4"/>
  <c r="B225" i="4"/>
  <c r="C225" i="4"/>
  <c r="D225" i="4"/>
  <c r="E225" i="4"/>
  <c r="F225" i="4"/>
  <c r="G225" i="4"/>
  <c r="H225" i="4"/>
  <c r="I225" i="4"/>
  <c r="B226" i="4"/>
  <c r="C226" i="4"/>
  <c r="D226" i="4"/>
  <c r="E226" i="4"/>
  <c r="F226" i="4"/>
  <c r="G226" i="4"/>
  <c r="H226" i="4"/>
  <c r="I226" i="4"/>
  <c r="B227" i="4"/>
  <c r="C227" i="4"/>
  <c r="D227" i="4"/>
  <c r="E227" i="4"/>
  <c r="F227" i="4"/>
  <c r="G227" i="4"/>
  <c r="H227" i="4"/>
  <c r="I227" i="4"/>
  <c r="B228" i="4"/>
  <c r="C228" i="4"/>
  <c r="D228" i="4"/>
  <c r="E228" i="4"/>
  <c r="F228" i="4"/>
  <c r="G228" i="4"/>
  <c r="H228" i="4"/>
  <c r="I228" i="4"/>
  <c r="B229" i="4"/>
  <c r="C229" i="4"/>
  <c r="D229" i="4"/>
  <c r="E229" i="4"/>
  <c r="F229" i="4"/>
  <c r="G229" i="4"/>
  <c r="H229" i="4"/>
  <c r="I229" i="4"/>
  <c r="B230" i="4"/>
  <c r="C230" i="4"/>
  <c r="D230" i="4"/>
  <c r="E230" i="4"/>
  <c r="F230" i="4"/>
  <c r="G230" i="4"/>
  <c r="H230" i="4"/>
  <c r="I230" i="4"/>
  <c r="B231" i="4"/>
  <c r="C231" i="4"/>
  <c r="D231" i="4"/>
  <c r="E231" i="4"/>
  <c r="F231" i="4"/>
  <c r="G231" i="4"/>
  <c r="H231" i="4"/>
  <c r="I231" i="4"/>
  <c r="B232" i="4"/>
  <c r="C232" i="4"/>
  <c r="D232" i="4"/>
  <c r="E232" i="4"/>
  <c r="F232" i="4"/>
  <c r="G232" i="4"/>
  <c r="H232" i="4"/>
  <c r="I232" i="4"/>
  <c r="B233" i="4"/>
  <c r="C233" i="4"/>
  <c r="D233" i="4"/>
  <c r="E233" i="4"/>
  <c r="F233" i="4"/>
  <c r="G233" i="4"/>
  <c r="H233" i="4"/>
  <c r="I233" i="4"/>
  <c r="A1" i="5"/>
  <c r="B1" i="5"/>
  <c r="C1" i="5"/>
  <c r="D1" i="5"/>
  <c r="E1" i="5"/>
  <c r="F1" i="5"/>
  <c r="G1" i="5"/>
  <c r="H1" i="5"/>
  <c r="A2" i="5"/>
  <c r="B2" i="5"/>
  <c r="C2" i="5"/>
  <c r="D2" i="5"/>
  <c r="E2" i="5"/>
  <c r="F2" i="5"/>
  <c r="G2" i="5"/>
  <c r="H2" i="5"/>
  <c r="A3" i="5"/>
  <c r="B3" i="5"/>
  <c r="C3" i="5"/>
  <c r="D3" i="5"/>
  <c r="E3" i="5"/>
  <c r="F3" i="5"/>
  <c r="G3" i="5"/>
  <c r="H3" i="5"/>
  <c r="A4" i="5"/>
  <c r="B4" i="5"/>
  <c r="C4" i="5"/>
  <c r="D4" i="5"/>
  <c r="E4" i="5"/>
  <c r="F4" i="5"/>
  <c r="G4" i="5"/>
  <c r="H4" i="5"/>
  <c r="A5" i="5"/>
  <c r="B5" i="5"/>
  <c r="C5" i="5"/>
  <c r="D5" i="5"/>
  <c r="E5" i="5"/>
  <c r="F5" i="5"/>
  <c r="G5" i="5"/>
  <c r="H5" i="5"/>
  <c r="A6" i="5"/>
  <c r="B6" i="5"/>
  <c r="C6" i="5"/>
  <c r="D6" i="5"/>
  <c r="E6" i="5"/>
  <c r="F6" i="5"/>
  <c r="G6" i="5"/>
  <c r="H6" i="5"/>
  <c r="A7" i="5"/>
  <c r="C7" i="5"/>
  <c r="D7" i="5"/>
  <c r="E7" i="5"/>
  <c r="F7" i="5"/>
  <c r="G7" i="5"/>
  <c r="H7" i="5"/>
  <c r="A8" i="5"/>
  <c r="B8" i="5"/>
  <c r="C8" i="5"/>
  <c r="D8" i="5"/>
  <c r="E8" i="5"/>
  <c r="F8" i="5"/>
  <c r="G8" i="5"/>
  <c r="H8" i="5"/>
  <c r="A9" i="5"/>
  <c r="B9" i="5"/>
  <c r="C9" i="5"/>
  <c r="D9" i="5"/>
  <c r="E9" i="5"/>
  <c r="F9" i="5"/>
  <c r="G9" i="5"/>
  <c r="H9" i="5"/>
  <c r="A10" i="5"/>
  <c r="B10" i="5"/>
  <c r="C10" i="5"/>
  <c r="D10" i="5"/>
  <c r="E10" i="5"/>
  <c r="F10" i="5"/>
  <c r="G10" i="5"/>
  <c r="H10" i="5"/>
  <c r="A11" i="5"/>
  <c r="C11" i="5"/>
  <c r="D11" i="5"/>
  <c r="E11" i="5"/>
  <c r="F11" i="5"/>
  <c r="G11" i="5"/>
  <c r="H11" i="5"/>
  <c r="A12" i="5"/>
  <c r="B12" i="5"/>
  <c r="C12" i="5"/>
  <c r="D12" i="5"/>
  <c r="E12" i="5"/>
  <c r="F12" i="5"/>
  <c r="G12" i="5"/>
  <c r="H12" i="5"/>
  <c r="A13" i="5"/>
  <c r="B13" i="5"/>
  <c r="C13" i="5"/>
  <c r="D13" i="5"/>
  <c r="E13" i="5"/>
  <c r="F13" i="5"/>
  <c r="G13" i="5"/>
  <c r="H13" i="5"/>
  <c r="A14" i="5"/>
  <c r="B14" i="5"/>
  <c r="C14" i="5"/>
  <c r="D14" i="5"/>
  <c r="E14" i="5"/>
  <c r="F14" i="5"/>
  <c r="G14" i="5"/>
  <c r="H14" i="5"/>
  <c r="A15" i="5"/>
  <c r="B15" i="5"/>
  <c r="C15" i="5"/>
  <c r="D15" i="5"/>
  <c r="E15" i="5"/>
  <c r="F15" i="5"/>
  <c r="G15" i="5"/>
  <c r="H15" i="5"/>
  <c r="A16" i="5"/>
  <c r="C16" i="5"/>
  <c r="D16" i="5"/>
  <c r="E16" i="5"/>
  <c r="F16" i="5"/>
  <c r="G16" i="5"/>
  <c r="H16" i="5"/>
  <c r="A17" i="5"/>
  <c r="B17" i="5"/>
  <c r="C17" i="5"/>
  <c r="D17" i="5"/>
  <c r="E17" i="5"/>
  <c r="F17" i="5"/>
  <c r="G17" i="5"/>
  <c r="H17" i="5"/>
  <c r="A18" i="5"/>
  <c r="B18" i="5"/>
  <c r="C18" i="5"/>
  <c r="D18" i="5"/>
  <c r="E18" i="5"/>
  <c r="F18" i="5"/>
  <c r="G18" i="5"/>
  <c r="H18" i="5"/>
  <c r="A19" i="5"/>
  <c r="B19" i="5"/>
  <c r="C19" i="5"/>
  <c r="D19" i="5"/>
  <c r="E19" i="5"/>
  <c r="F19" i="5"/>
  <c r="G19" i="5"/>
  <c r="H19" i="5"/>
  <c r="A20" i="5"/>
  <c r="B20" i="5"/>
  <c r="C20" i="5"/>
  <c r="D20" i="5"/>
  <c r="E20" i="5"/>
  <c r="F20" i="5"/>
  <c r="G20" i="5"/>
  <c r="H20" i="5"/>
  <c r="A21" i="5"/>
  <c r="B21" i="5"/>
  <c r="C21" i="5"/>
  <c r="D21" i="5"/>
  <c r="E21" i="5"/>
  <c r="F21" i="5"/>
  <c r="G21" i="5"/>
  <c r="H21" i="5"/>
  <c r="A22" i="5"/>
  <c r="B22" i="5"/>
  <c r="C22" i="5"/>
  <c r="D22" i="5"/>
  <c r="E22" i="5"/>
  <c r="F22" i="5"/>
  <c r="G22" i="5"/>
  <c r="H22" i="5"/>
  <c r="A23" i="5"/>
  <c r="B23" i="5"/>
  <c r="C23" i="5"/>
  <c r="D23" i="5"/>
  <c r="E23" i="5"/>
  <c r="F23" i="5"/>
  <c r="G23" i="5"/>
  <c r="H23" i="5"/>
  <c r="A24" i="5"/>
  <c r="B24" i="5"/>
  <c r="C24" i="5"/>
  <c r="D24" i="5"/>
  <c r="E24" i="5"/>
  <c r="F24" i="5"/>
  <c r="G24" i="5"/>
  <c r="H24" i="5"/>
  <c r="A25" i="5"/>
  <c r="B25" i="5"/>
  <c r="C25" i="5"/>
  <c r="D25" i="5"/>
  <c r="E25" i="5"/>
  <c r="F25" i="5"/>
  <c r="G25" i="5"/>
  <c r="H25" i="5"/>
  <c r="A26" i="5"/>
  <c r="B26" i="5"/>
  <c r="C26" i="5"/>
  <c r="D26" i="5"/>
  <c r="E26" i="5"/>
  <c r="F26" i="5"/>
  <c r="G26" i="5"/>
  <c r="H26" i="5"/>
  <c r="A27" i="5"/>
  <c r="B27" i="5"/>
  <c r="C27" i="5"/>
  <c r="D27" i="5"/>
  <c r="E27" i="5"/>
  <c r="F27" i="5"/>
  <c r="G27" i="5"/>
  <c r="H27" i="5"/>
  <c r="A28" i="5"/>
  <c r="B28" i="5"/>
  <c r="C28" i="5"/>
  <c r="D28" i="5"/>
  <c r="E28" i="5"/>
  <c r="F28" i="5"/>
  <c r="G28" i="5"/>
  <c r="H28" i="5"/>
  <c r="A29" i="5"/>
  <c r="C29" i="5"/>
  <c r="D29" i="5"/>
  <c r="E29" i="5"/>
  <c r="F29" i="5"/>
  <c r="G29" i="5"/>
  <c r="H29" i="5"/>
  <c r="A30" i="5"/>
  <c r="B30" i="5"/>
  <c r="C30" i="5"/>
  <c r="D30" i="5"/>
  <c r="E30" i="5"/>
  <c r="F30" i="5"/>
  <c r="G30" i="5"/>
  <c r="H30" i="5"/>
  <c r="A31" i="5"/>
  <c r="C31" i="5"/>
  <c r="D31" i="5"/>
  <c r="E31" i="5"/>
  <c r="F31" i="5"/>
  <c r="G31" i="5"/>
  <c r="H31" i="5"/>
  <c r="A32" i="5"/>
  <c r="B32" i="5"/>
  <c r="C32" i="5"/>
  <c r="D32" i="5"/>
  <c r="E32" i="5"/>
  <c r="F32" i="5"/>
  <c r="G32" i="5"/>
  <c r="H32" i="5"/>
  <c r="A33" i="5"/>
  <c r="B33" i="5"/>
  <c r="C33" i="5"/>
  <c r="D33" i="5"/>
  <c r="E33" i="5"/>
  <c r="F33" i="5"/>
  <c r="G33" i="5"/>
  <c r="H33" i="5"/>
  <c r="A34" i="5"/>
  <c r="B34" i="5"/>
  <c r="C34" i="5"/>
  <c r="D34" i="5"/>
  <c r="E34" i="5"/>
  <c r="F34" i="5"/>
  <c r="G34" i="5"/>
  <c r="H34" i="5"/>
  <c r="A35" i="5"/>
  <c r="B35" i="5"/>
  <c r="C35" i="5"/>
  <c r="D35" i="5"/>
  <c r="E35" i="5"/>
  <c r="F35" i="5"/>
  <c r="G35" i="5"/>
  <c r="H35" i="5"/>
  <c r="A36" i="5"/>
  <c r="B36" i="5"/>
  <c r="C36" i="5"/>
  <c r="D36" i="5"/>
  <c r="E36" i="5"/>
  <c r="F36" i="5"/>
  <c r="G36" i="5"/>
  <c r="H36" i="5"/>
  <c r="A37" i="5"/>
  <c r="B37" i="5"/>
  <c r="C37" i="5"/>
  <c r="D37" i="5"/>
  <c r="E37" i="5"/>
  <c r="F37" i="5"/>
  <c r="G37" i="5"/>
  <c r="H37" i="5"/>
  <c r="A38" i="5"/>
  <c r="B38" i="5"/>
  <c r="C38" i="5"/>
  <c r="D38" i="5"/>
  <c r="E38" i="5"/>
  <c r="F38" i="5"/>
  <c r="G38" i="5"/>
  <c r="H38" i="5"/>
  <c r="A39" i="5"/>
  <c r="B39" i="5"/>
  <c r="C39" i="5"/>
  <c r="D39" i="5"/>
  <c r="E39" i="5"/>
  <c r="F39" i="5"/>
  <c r="G39" i="5"/>
  <c r="H39" i="5"/>
  <c r="A40" i="5"/>
  <c r="B40" i="5"/>
  <c r="C40" i="5"/>
  <c r="D40" i="5"/>
  <c r="E40" i="5"/>
  <c r="F40" i="5"/>
  <c r="G40" i="5"/>
  <c r="H40" i="5"/>
  <c r="A41" i="5"/>
  <c r="B41" i="5"/>
  <c r="C41" i="5"/>
  <c r="D41" i="5"/>
  <c r="E41" i="5"/>
  <c r="F41" i="5"/>
  <c r="G41" i="5"/>
  <c r="H41" i="5"/>
  <c r="A42" i="5"/>
  <c r="B42" i="5"/>
  <c r="C42" i="5"/>
  <c r="D42" i="5"/>
  <c r="E42" i="5"/>
  <c r="F42" i="5"/>
  <c r="G42" i="5"/>
  <c r="H42" i="5"/>
  <c r="A43" i="5"/>
  <c r="B43" i="5"/>
  <c r="C43" i="5"/>
  <c r="D43" i="5"/>
  <c r="E43" i="5"/>
  <c r="F43" i="5"/>
  <c r="G43" i="5"/>
  <c r="H43" i="5"/>
  <c r="A44" i="5"/>
  <c r="B44" i="5"/>
  <c r="C44" i="5"/>
  <c r="D44" i="5"/>
  <c r="E44" i="5"/>
  <c r="F44" i="5"/>
  <c r="G44" i="5"/>
  <c r="H44" i="5"/>
  <c r="A45" i="5"/>
  <c r="B45" i="5"/>
  <c r="C45" i="5"/>
  <c r="D45" i="5"/>
  <c r="E45" i="5"/>
  <c r="F45" i="5"/>
  <c r="G45" i="5"/>
  <c r="H45" i="5"/>
  <c r="A46" i="5"/>
  <c r="B46" i="5"/>
  <c r="C46" i="5"/>
  <c r="D46" i="5"/>
  <c r="E46" i="5"/>
  <c r="F46" i="5"/>
  <c r="G46" i="5"/>
  <c r="H46" i="5"/>
  <c r="A47" i="5"/>
  <c r="B47" i="5"/>
  <c r="C47" i="5"/>
  <c r="D47" i="5"/>
  <c r="E47" i="5"/>
  <c r="F47" i="5"/>
  <c r="G47" i="5"/>
  <c r="H47" i="5"/>
  <c r="A48" i="5"/>
  <c r="B48" i="5"/>
  <c r="C48" i="5"/>
  <c r="D48" i="5"/>
  <c r="E48" i="5"/>
  <c r="F48" i="5"/>
  <c r="G48" i="5"/>
  <c r="H48" i="5"/>
  <c r="A49" i="5"/>
  <c r="B49" i="5"/>
  <c r="C49" i="5"/>
  <c r="D49" i="5"/>
  <c r="E49" i="5"/>
  <c r="F49" i="5"/>
  <c r="G49" i="5"/>
  <c r="H49" i="5"/>
  <c r="A50" i="5"/>
  <c r="B50" i="5"/>
  <c r="C50" i="5"/>
  <c r="D50" i="5"/>
  <c r="E50" i="5"/>
  <c r="F50" i="5"/>
  <c r="G50" i="5"/>
  <c r="H50" i="5"/>
  <c r="A51" i="5"/>
  <c r="B51" i="5"/>
  <c r="C51" i="5"/>
  <c r="D51" i="5"/>
  <c r="E51" i="5"/>
  <c r="F51" i="5"/>
  <c r="G51" i="5"/>
  <c r="H51" i="5"/>
  <c r="A52" i="5"/>
  <c r="B52" i="5"/>
  <c r="C52" i="5"/>
  <c r="D52" i="5"/>
  <c r="E52" i="5"/>
  <c r="F52" i="5"/>
  <c r="G52" i="5"/>
  <c r="H52" i="5"/>
  <c r="A53" i="5"/>
  <c r="B53" i="5"/>
  <c r="C53" i="5"/>
  <c r="D53" i="5"/>
  <c r="E53" i="5"/>
  <c r="F53" i="5"/>
  <c r="G53" i="5"/>
  <c r="H53" i="5"/>
  <c r="A54" i="5"/>
  <c r="B54" i="5"/>
  <c r="C54" i="5"/>
  <c r="D54" i="5"/>
  <c r="E54" i="5"/>
  <c r="F54" i="5"/>
  <c r="G54" i="5"/>
  <c r="H54" i="5"/>
  <c r="A55" i="5"/>
  <c r="B55" i="5"/>
  <c r="C55" i="5"/>
  <c r="D55" i="5"/>
  <c r="E55" i="5"/>
  <c r="F55" i="5"/>
  <c r="G55" i="5"/>
  <c r="H55" i="5"/>
  <c r="A56" i="5"/>
  <c r="B56" i="5"/>
  <c r="C56" i="5"/>
  <c r="D56" i="5"/>
  <c r="E56" i="5"/>
  <c r="F56" i="5"/>
  <c r="G56" i="5"/>
  <c r="H56" i="5"/>
  <c r="A57" i="5"/>
  <c r="B57" i="5"/>
  <c r="C57" i="5"/>
  <c r="D57" i="5"/>
  <c r="E57" i="5"/>
  <c r="F57" i="5"/>
  <c r="G57" i="5"/>
  <c r="H57" i="5"/>
  <c r="A58" i="5"/>
  <c r="B58" i="5"/>
  <c r="C58" i="5"/>
  <c r="D58" i="5"/>
  <c r="E58" i="5"/>
  <c r="F58" i="5"/>
  <c r="G58" i="5"/>
  <c r="H58" i="5"/>
  <c r="A59" i="5"/>
  <c r="B59" i="5"/>
  <c r="C59" i="5"/>
  <c r="D59" i="5"/>
  <c r="E59" i="5"/>
  <c r="F59" i="5"/>
  <c r="G59" i="5"/>
  <c r="H59" i="5"/>
  <c r="A60" i="5"/>
  <c r="B60" i="5"/>
  <c r="C60" i="5"/>
  <c r="D60" i="5"/>
  <c r="E60" i="5"/>
  <c r="F60" i="5"/>
  <c r="G60" i="5"/>
  <c r="H60" i="5"/>
  <c r="A61" i="5"/>
  <c r="B61" i="5"/>
  <c r="C61" i="5"/>
  <c r="D61" i="5"/>
  <c r="E61" i="5"/>
  <c r="F61" i="5"/>
  <c r="G61" i="5"/>
  <c r="H61" i="5"/>
  <c r="A62" i="5"/>
  <c r="B62" i="5"/>
  <c r="C62" i="5"/>
  <c r="D62" i="5"/>
  <c r="E62" i="5"/>
  <c r="F62" i="5"/>
  <c r="G62" i="5"/>
  <c r="H62" i="5"/>
  <c r="A63" i="5"/>
  <c r="B63" i="5"/>
  <c r="C63" i="5"/>
  <c r="D63" i="5"/>
  <c r="E63" i="5"/>
  <c r="F63" i="5"/>
  <c r="G63" i="5"/>
  <c r="H63" i="5"/>
  <c r="A64" i="5"/>
  <c r="B64" i="5"/>
  <c r="C64" i="5"/>
  <c r="D64" i="5"/>
  <c r="E64" i="5"/>
  <c r="F64" i="5"/>
  <c r="G64" i="5"/>
  <c r="H64" i="5"/>
  <c r="A65" i="5"/>
  <c r="B65" i="5"/>
  <c r="C65" i="5"/>
  <c r="D65" i="5"/>
  <c r="E65" i="5"/>
  <c r="F65" i="5"/>
  <c r="G65" i="5"/>
  <c r="H65" i="5"/>
  <c r="A66" i="5"/>
  <c r="B66" i="5"/>
  <c r="C66" i="5"/>
  <c r="D66" i="5"/>
  <c r="E66" i="5"/>
  <c r="F66" i="5"/>
  <c r="G66" i="5"/>
  <c r="H66" i="5"/>
  <c r="A67" i="5"/>
  <c r="B67" i="5"/>
  <c r="C67" i="5"/>
  <c r="D67" i="5"/>
  <c r="E67" i="5"/>
  <c r="F67" i="5"/>
  <c r="G67" i="5"/>
  <c r="H67" i="5"/>
  <c r="A68" i="5"/>
  <c r="B68" i="5"/>
  <c r="C68" i="5"/>
  <c r="D68" i="5"/>
  <c r="E68" i="5"/>
  <c r="F68" i="5"/>
  <c r="G68" i="5"/>
  <c r="H68" i="5"/>
  <c r="A69" i="5"/>
  <c r="B69" i="5"/>
  <c r="C69" i="5"/>
  <c r="D69" i="5"/>
  <c r="E69" i="5"/>
  <c r="F69" i="5"/>
  <c r="G69" i="5"/>
  <c r="H69" i="5"/>
  <c r="A70" i="5"/>
  <c r="B70" i="5"/>
  <c r="C70" i="5"/>
  <c r="D70" i="5"/>
  <c r="E70" i="5"/>
  <c r="F70" i="5"/>
  <c r="G70" i="5"/>
  <c r="H70" i="5"/>
  <c r="A71" i="5"/>
  <c r="B71" i="5"/>
  <c r="C71" i="5"/>
  <c r="D71" i="5"/>
  <c r="E71" i="5"/>
  <c r="F71" i="5"/>
  <c r="G71" i="5"/>
  <c r="H71" i="5"/>
  <c r="A72" i="5"/>
  <c r="B72" i="5"/>
  <c r="C72" i="5"/>
  <c r="D72" i="5"/>
  <c r="E72" i="5"/>
  <c r="F72" i="5"/>
  <c r="G72" i="5"/>
  <c r="H72" i="5"/>
  <c r="A73" i="5"/>
  <c r="B73" i="5"/>
  <c r="C73" i="5"/>
  <c r="D73" i="5"/>
  <c r="E73" i="5"/>
  <c r="F73" i="5"/>
  <c r="G73" i="5"/>
  <c r="H73" i="5"/>
  <c r="A74" i="5"/>
  <c r="B74" i="5"/>
  <c r="C74" i="5"/>
  <c r="D74" i="5"/>
  <c r="E74" i="5"/>
  <c r="F74" i="5"/>
  <c r="G74" i="5"/>
  <c r="H74" i="5"/>
  <c r="A75" i="5"/>
  <c r="B75" i="5"/>
  <c r="C75" i="5"/>
  <c r="D75" i="5"/>
  <c r="E75" i="5"/>
  <c r="F75" i="5"/>
  <c r="G75" i="5"/>
  <c r="H75" i="5"/>
  <c r="A76" i="5"/>
  <c r="B76" i="5"/>
  <c r="C76" i="5"/>
  <c r="D76" i="5"/>
  <c r="E76" i="5"/>
  <c r="F76" i="5"/>
  <c r="G76" i="5"/>
  <c r="H76" i="5"/>
  <c r="A77" i="5"/>
  <c r="B77" i="5"/>
  <c r="C77" i="5"/>
  <c r="D77" i="5"/>
  <c r="E77" i="5"/>
  <c r="F77" i="5"/>
  <c r="G77" i="5"/>
  <c r="H77" i="5"/>
  <c r="A78" i="5"/>
  <c r="B78" i="5"/>
  <c r="C78" i="5"/>
  <c r="D78" i="5"/>
  <c r="E78" i="5"/>
  <c r="F78" i="5"/>
  <c r="G78" i="5"/>
  <c r="H78" i="5"/>
  <c r="A79" i="5"/>
  <c r="B79" i="5"/>
  <c r="C79" i="5"/>
  <c r="D79" i="5"/>
  <c r="E79" i="5"/>
  <c r="F79" i="5"/>
  <c r="G79" i="5"/>
  <c r="H79" i="5"/>
  <c r="A80" i="5"/>
  <c r="B80" i="5"/>
  <c r="C80" i="5"/>
  <c r="D80" i="5"/>
  <c r="E80" i="5"/>
  <c r="F80" i="5"/>
  <c r="G80" i="5"/>
  <c r="H80" i="5"/>
  <c r="A81" i="5"/>
  <c r="B81" i="5"/>
  <c r="C81" i="5"/>
  <c r="D81" i="5"/>
  <c r="E81" i="5"/>
  <c r="F81" i="5"/>
  <c r="G81" i="5"/>
  <c r="H81" i="5"/>
  <c r="A82" i="5"/>
  <c r="B82" i="5"/>
  <c r="C82" i="5"/>
  <c r="D82" i="5"/>
  <c r="E82" i="5"/>
  <c r="F82" i="5"/>
  <c r="G82" i="5"/>
  <c r="H82" i="5"/>
  <c r="A83" i="5"/>
  <c r="B83" i="5"/>
  <c r="C83" i="5"/>
  <c r="D83" i="5"/>
  <c r="E83" i="5"/>
  <c r="F83" i="5"/>
  <c r="G83" i="5"/>
  <c r="H83" i="5"/>
  <c r="A84" i="5"/>
  <c r="B84" i="5"/>
  <c r="C84" i="5"/>
  <c r="D84" i="5"/>
  <c r="E84" i="5"/>
  <c r="F84" i="5"/>
  <c r="G84" i="5"/>
  <c r="H84" i="5"/>
  <c r="A85" i="5"/>
  <c r="B85" i="5"/>
  <c r="C85" i="5"/>
  <c r="D85" i="5"/>
  <c r="E85" i="5"/>
  <c r="F85" i="5"/>
  <c r="G85" i="5"/>
  <c r="H85" i="5"/>
  <c r="A86" i="5"/>
  <c r="B86" i="5"/>
  <c r="C86" i="5"/>
  <c r="D86" i="5"/>
  <c r="E86" i="5"/>
  <c r="F86" i="5"/>
  <c r="G86" i="5"/>
  <c r="H86" i="5"/>
  <c r="A87" i="5"/>
  <c r="B87" i="5"/>
  <c r="C87" i="5"/>
  <c r="D87" i="5"/>
  <c r="E87" i="5"/>
  <c r="F87" i="5"/>
  <c r="G87" i="5"/>
  <c r="H87" i="5"/>
  <c r="A88" i="5"/>
  <c r="B88" i="5"/>
  <c r="C88" i="5"/>
  <c r="D88" i="5"/>
  <c r="E88" i="5"/>
  <c r="F88" i="5"/>
  <c r="G88" i="5"/>
  <c r="H88" i="5"/>
  <c r="A89" i="5"/>
  <c r="B89" i="5"/>
  <c r="C89" i="5"/>
  <c r="D89" i="5"/>
  <c r="E89" i="5"/>
  <c r="F89" i="5"/>
  <c r="G89" i="5"/>
  <c r="H89" i="5"/>
  <c r="A90" i="5"/>
  <c r="B90" i="5"/>
  <c r="C90" i="5"/>
  <c r="D90" i="5"/>
  <c r="E90" i="5"/>
  <c r="F90" i="5"/>
  <c r="G90" i="5"/>
  <c r="H90" i="5"/>
  <c r="A91" i="5"/>
  <c r="B91" i="5"/>
  <c r="C91" i="5"/>
  <c r="D91" i="5"/>
  <c r="E91" i="5"/>
  <c r="F91" i="5"/>
  <c r="G91" i="5"/>
  <c r="H91" i="5"/>
  <c r="A92" i="5"/>
  <c r="B92" i="5"/>
  <c r="C92" i="5"/>
  <c r="D92" i="5"/>
  <c r="E92" i="5"/>
  <c r="F92" i="5"/>
  <c r="G92" i="5"/>
  <c r="H92" i="5"/>
  <c r="A93" i="5"/>
  <c r="B93" i="5"/>
  <c r="C93" i="5"/>
  <c r="D93" i="5"/>
  <c r="E93" i="5"/>
  <c r="F93" i="5"/>
  <c r="G93" i="5"/>
  <c r="H93" i="5"/>
  <c r="A94" i="5"/>
  <c r="B94" i="5"/>
  <c r="C94" i="5"/>
  <c r="D94" i="5"/>
  <c r="E94" i="5"/>
  <c r="F94" i="5"/>
  <c r="G94" i="5"/>
  <c r="H94" i="5"/>
  <c r="A95" i="5"/>
  <c r="B95" i="5"/>
  <c r="C95" i="5"/>
  <c r="D95" i="5"/>
  <c r="E95" i="5"/>
  <c r="F95" i="5"/>
  <c r="G95" i="5"/>
  <c r="H95" i="5"/>
  <c r="A96" i="5"/>
  <c r="B96" i="5"/>
  <c r="C96" i="5"/>
  <c r="D96" i="5"/>
  <c r="E96" i="5"/>
  <c r="F96" i="5"/>
  <c r="G96" i="5"/>
  <c r="H96" i="5"/>
  <c r="A97" i="5"/>
  <c r="B97" i="5"/>
  <c r="C97" i="5"/>
  <c r="D97" i="5"/>
  <c r="E97" i="5"/>
  <c r="F97" i="5"/>
  <c r="G97" i="5"/>
  <c r="H97" i="5"/>
  <c r="A98" i="5"/>
  <c r="B98" i="5"/>
  <c r="C98" i="5"/>
  <c r="D98" i="5"/>
  <c r="E98" i="5"/>
  <c r="F98" i="5"/>
  <c r="G98" i="5"/>
  <c r="H98" i="5"/>
  <c r="A99" i="5"/>
  <c r="B99" i="5"/>
  <c r="C99" i="5"/>
  <c r="D99" i="5"/>
  <c r="E99" i="5"/>
  <c r="F99" i="5"/>
  <c r="G99" i="5"/>
  <c r="H99" i="5"/>
  <c r="A100" i="5"/>
  <c r="B100" i="5"/>
  <c r="C100" i="5"/>
  <c r="D100" i="5"/>
  <c r="E100" i="5"/>
  <c r="F100" i="5"/>
  <c r="G100" i="5"/>
  <c r="H100" i="5"/>
  <c r="A101" i="5"/>
  <c r="B101" i="5"/>
  <c r="C101" i="5"/>
  <c r="D101" i="5"/>
  <c r="E101" i="5"/>
  <c r="F101" i="5"/>
  <c r="G101" i="5"/>
  <c r="H101" i="5"/>
  <c r="A102" i="5"/>
  <c r="B102" i="5"/>
  <c r="C102" i="5"/>
  <c r="D102" i="5"/>
  <c r="E102" i="5"/>
  <c r="F102" i="5"/>
  <c r="G102" i="5"/>
  <c r="H102" i="5"/>
  <c r="A103" i="5"/>
  <c r="B103" i="5"/>
  <c r="C103" i="5"/>
  <c r="D103" i="5"/>
  <c r="E103" i="5"/>
  <c r="F103" i="5"/>
  <c r="G103" i="5"/>
  <c r="H103" i="5"/>
  <c r="A104" i="5"/>
  <c r="B104" i="5"/>
  <c r="C104" i="5"/>
  <c r="D104" i="5"/>
  <c r="E104" i="5"/>
  <c r="F104" i="5"/>
  <c r="G104" i="5"/>
  <c r="H104" i="5"/>
  <c r="A105" i="5"/>
  <c r="B105" i="5"/>
  <c r="C105" i="5"/>
  <c r="D105" i="5"/>
  <c r="E105" i="5"/>
  <c r="F105" i="5"/>
  <c r="G105" i="5"/>
  <c r="H105" i="5"/>
  <c r="A106" i="5"/>
  <c r="B106" i="5"/>
  <c r="C106" i="5"/>
  <c r="D106" i="5"/>
  <c r="E106" i="5"/>
  <c r="F106" i="5"/>
  <c r="G106" i="5"/>
  <c r="H106" i="5"/>
  <c r="A107" i="5"/>
  <c r="B107" i="5"/>
  <c r="C107" i="5"/>
  <c r="D107" i="5"/>
  <c r="E107" i="5"/>
  <c r="F107" i="5"/>
  <c r="G107" i="5"/>
  <c r="H107" i="5"/>
  <c r="A108" i="5"/>
  <c r="B108" i="5"/>
  <c r="C108" i="5"/>
  <c r="D108" i="5"/>
  <c r="E108" i="5"/>
  <c r="F108" i="5"/>
  <c r="G108" i="5"/>
  <c r="H108" i="5"/>
  <c r="A109" i="5"/>
  <c r="B109" i="5"/>
  <c r="C109" i="5"/>
  <c r="D109" i="5"/>
  <c r="E109" i="5"/>
  <c r="F109" i="5"/>
  <c r="G109" i="5"/>
  <c r="H109" i="5"/>
  <c r="A110" i="5"/>
  <c r="B110" i="5"/>
  <c r="C110" i="5"/>
  <c r="D110" i="5"/>
  <c r="E110" i="5"/>
  <c r="F110" i="5"/>
  <c r="G110" i="5"/>
  <c r="H110" i="5"/>
  <c r="A111" i="5"/>
  <c r="B111" i="5"/>
  <c r="C111" i="5"/>
  <c r="D111" i="5"/>
  <c r="E111" i="5"/>
  <c r="F111" i="5"/>
  <c r="G111" i="5"/>
  <c r="H111" i="5"/>
  <c r="A112" i="5"/>
  <c r="B112" i="5"/>
  <c r="C112" i="5"/>
  <c r="D112" i="5"/>
  <c r="E112" i="5"/>
  <c r="F112" i="5"/>
  <c r="G112" i="5"/>
  <c r="H112" i="5"/>
  <c r="A113" i="5"/>
  <c r="B113" i="5"/>
  <c r="C113" i="5"/>
  <c r="D113" i="5"/>
  <c r="E113" i="5"/>
  <c r="F113" i="5"/>
  <c r="G113" i="5"/>
  <c r="H113" i="5"/>
  <c r="A114" i="5"/>
  <c r="B114" i="5"/>
  <c r="C114" i="5"/>
  <c r="D114" i="5"/>
  <c r="E114" i="5"/>
  <c r="F114" i="5"/>
  <c r="G114" i="5"/>
  <c r="H114" i="5"/>
  <c r="A115" i="5"/>
  <c r="B115" i="5"/>
  <c r="C115" i="5"/>
  <c r="D115" i="5"/>
  <c r="E115" i="5"/>
  <c r="F115" i="5"/>
  <c r="G115" i="5"/>
  <c r="H115" i="5"/>
  <c r="A116" i="5"/>
  <c r="B116" i="5"/>
  <c r="C116" i="5"/>
  <c r="D116" i="5"/>
  <c r="E116" i="5"/>
  <c r="F116" i="5"/>
  <c r="G116" i="5"/>
  <c r="H116" i="5"/>
  <c r="A117" i="5"/>
  <c r="B117" i="5"/>
  <c r="C117" i="5"/>
  <c r="D117" i="5"/>
  <c r="E117" i="5"/>
  <c r="F117" i="5"/>
  <c r="G117" i="5"/>
  <c r="H117" i="5"/>
  <c r="A118" i="5"/>
  <c r="B118" i="5"/>
  <c r="C118" i="5"/>
  <c r="D118" i="5"/>
  <c r="E118" i="5"/>
  <c r="F118" i="5"/>
  <c r="G118" i="5"/>
  <c r="H118" i="5"/>
  <c r="A119" i="5"/>
  <c r="B119" i="5"/>
  <c r="C119" i="5"/>
  <c r="D119" i="5"/>
  <c r="E119" i="5"/>
  <c r="F119" i="5"/>
  <c r="G119" i="5"/>
  <c r="H119" i="5"/>
  <c r="A120" i="5"/>
  <c r="B120" i="5"/>
  <c r="C120" i="5"/>
  <c r="D120" i="5"/>
  <c r="E120" i="5"/>
  <c r="F120" i="5"/>
  <c r="G120" i="5"/>
  <c r="H120" i="5"/>
  <c r="A121" i="5"/>
  <c r="B121" i="5"/>
  <c r="C121" i="5"/>
  <c r="D121" i="5"/>
  <c r="E121" i="5"/>
  <c r="F121" i="5"/>
  <c r="G121" i="5"/>
  <c r="H121" i="5"/>
  <c r="A122" i="5"/>
  <c r="B122" i="5"/>
  <c r="C122" i="5"/>
  <c r="D122" i="5"/>
  <c r="E122" i="5"/>
  <c r="F122" i="5"/>
  <c r="G122" i="5"/>
  <c r="H122" i="5"/>
  <c r="A123" i="5"/>
  <c r="B123" i="5"/>
  <c r="C123" i="5"/>
  <c r="D123" i="5"/>
  <c r="E123" i="5"/>
  <c r="F123" i="5"/>
  <c r="G123" i="5"/>
  <c r="H123" i="5"/>
  <c r="A124" i="5"/>
  <c r="B124" i="5"/>
  <c r="C124" i="5"/>
  <c r="D124" i="5"/>
  <c r="E124" i="5"/>
  <c r="F124" i="5"/>
  <c r="G124" i="5"/>
  <c r="H124" i="5"/>
  <c r="A125" i="5"/>
  <c r="B125" i="5"/>
  <c r="C125" i="5"/>
  <c r="D125" i="5"/>
  <c r="E125" i="5"/>
  <c r="F125" i="5"/>
  <c r="G125" i="5"/>
  <c r="H125" i="5"/>
  <c r="A126" i="5"/>
  <c r="B126" i="5"/>
  <c r="C126" i="5"/>
  <c r="D126" i="5"/>
  <c r="E126" i="5"/>
  <c r="F126" i="5"/>
  <c r="G126" i="5"/>
  <c r="H126" i="5"/>
  <c r="A127" i="5"/>
  <c r="B127" i="5"/>
  <c r="C127" i="5"/>
  <c r="D127" i="5"/>
  <c r="E127" i="5"/>
  <c r="F127" i="5"/>
  <c r="G127" i="5"/>
  <c r="H127" i="5"/>
  <c r="A128" i="5"/>
  <c r="B128" i="5"/>
  <c r="C128" i="5"/>
  <c r="D128" i="5"/>
  <c r="E128" i="5"/>
  <c r="F128" i="5"/>
  <c r="G128" i="5"/>
  <c r="H128" i="5"/>
  <c r="A129" i="5"/>
  <c r="B129" i="5"/>
  <c r="C129" i="5"/>
  <c r="D129" i="5"/>
  <c r="E129" i="5"/>
  <c r="F129" i="5"/>
  <c r="G129" i="5"/>
  <c r="H129" i="5"/>
  <c r="A130" i="5"/>
  <c r="B130" i="5"/>
  <c r="C130" i="5"/>
  <c r="D130" i="5"/>
  <c r="E130" i="5"/>
  <c r="F130" i="5"/>
  <c r="G130" i="5"/>
  <c r="H130" i="5"/>
  <c r="A131" i="5"/>
  <c r="B131" i="5"/>
  <c r="C131" i="5"/>
  <c r="D131" i="5"/>
  <c r="E131" i="5"/>
  <c r="F131" i="5"/>
  <c r="G131" i="5"/>
  <c r="H131" i="5"/>
  <c r="A132" i="5"/>
  <c r="B132" i="5"/>
  <c r="C132" i="5"/>
  <c r="D132" i="5"/>
  <c r="E132" i="5"/>
  <c r="F132" i="5"/>
  <c r="G132" i="5"/>
  <c r="H132" i="5"/>
  <c r="A133" i="5"/>
  <c r="B133" i="5"/>
  <c r="C133" i="5"/>
  <c r="D133" i="5"/>
  <c r="E133" i="5"/>
  <c r="F133" i="5"/>
  <c r="G133" i="5"/>
  <c r="H133" i="5"/>
  <c r="A134" i="5"/>
  <c r="B134" i="5"/>
  <c r="C134" i="5"/>
  <c r="D134" i="5"/>
  <c r="E134" i="5"/>
  <c r="F134" i="5"/>
  <c r="G134" i="5"/>
  <c r="H134" i="5"/>
  <c r="A135" i="5"/>
  <c r="B135" i="5"/>
  <c r="C135" i="5"/>
  <c r="D135" i="5"/>
  <c r="E135" i="5"/>
  <c r="F135" i="5"/>
  <c r="G135" i="5"/>
  <c r="H135" i="5"/>
  <c r="A136" i="5"/>
  <c r="B136" i="5"/>
  <c r="C136" i="5"/>
  <c r="D136" i="5"/>
  <c r="E136" i="5"/>
  <c r="F136" i="5"/>
  <c r="G136" i="5"/>
  <c r="H136" i="5"/>
  <c r="A137" i="5"/>
  <c r="B137" i="5"/>
  <c r="C137" i="5"/>
  <c r="D137" i="5"/>
  <c r="E137" i="5"/>
  <c r="F137" i="5"/>
  <c r="G137" i="5"/>
  <c r="H137" i="5"/>
  <c r="A138" i="5"/>
  <c r="B138" i="5"/>
  <c r="C138" i="5"/>
  <c r="D138" i="5"/>
  <c r="E138" i="5"/>
  <c r="F138" i="5"/>
  <c r="G138" i="5"/>
  <c r="H138" i="5"/>
  <c r="A139" i="5"/>
  <c r="B139" i="5"/>
  <c r="C139" i="5"/>
  <c r="D139" i="5"/>
  <c r="E139" i="5"/>
  <c r="F139" i="5"/>
  <c r="G139" i="5"/>
  <c r="H139" i="5"/>
  <c r="A140" i="5"/>
  <c r="B140" i="5"/>
  <c r="C140" i="5"/>
  <c r="D140" i="5"/>
  <c r="E140" i="5"/>
  <c r="F140" i="5"/>
  <c r="G140" i="5"/>
  <c r="H140" i="5"/>
  <c r="A141" i="5"/>
  <c r="C141" i="5"/>
  <c r="D141" i="5"/>
  <c r="E141" i="5"/>
  <c r="F141" i="5"/>
  <c r="G141" i="5"/>
  <c r="H141" i="5"/>
  <c r="A142" i="5"/>
  <c r="B142" i="5"/>
  <c r="C142" i="5"/>
  <c r="D142" i="5"/>
  <c r="E142" i="5"/>
  <c r="F142" i="5"/>
  <c r="G142" i="5"/>
  <c r="H142" i="5"/>
  <c r="A143" i="5"/>
  <c r="B143" i="5"/>
  <c r="C143" i="5"/>
  <c r="D143" i="5"/>
  <c r="E143" i="5"/>
  <c r="F143" i="5"/>
  <c r="G143" i="5"/>
  <c r="H143" i="5"/>
  <c r="A144" i="5"/>
  <c r="B144" i="5"/>
  <c r="C144" i="5"/>
  <c r="D144" i="5"/>
  <c r="E144" i="5"/>
  <c r="F144" i="5"/>
  <c r="G144" i="5"/>
  <c r="H144" i="5"/>
  <c r="A145" i="5"/>
  <c r="B145" i="5"/>
  <c r="C145" i="5"/>
  <c r="D145" i="5"/>
  <c r="E145" i="5"/>
  <c r="F145" i="5"/>
  <c r="G145" i="5"/>
  <c r="H145" i="5"/>
  <c r="A146" i="5"/>
  <c r="B146" i="5"/>
  <c r="C146" i="5"/>
  <c r="D146" i="5"/>
  <c r="E146" i="5"/>
  <c r="F146" i="5"/>
  <c r="G146" i="5"/>
  <c r="H146" i="5"/>
  <c r="A147" i="5"/>
  <c r="B147" i="5"/>
  <c r="C147" i="5"/>
  <c r="D147" i="5"/>
  <c r="E147" i="5"/>
  <c r="F147" i="5"/>
  <c r="G147" i="5"/>
  <c r="H147" i="5"/>
  <c r="A148" i="5"/>
  <c r="B148" i="5"/>
  <c r="C148" i="5"/>
  <c r="D148" i="5"/>
  <c r="E148" i="5"/>
  <c r="F148" i="5"/>
  <c r="G148" i="5"/>
  <c r="H148" i="5"/>
  <c r="A149" i="5"/>
  <c r="B149" i="5"/>
  <c r="C149" i="5"/>
  <c r="D149" i="5"/>
  <c r="E149" i="5"/>
  <c r="F149" i="5"/>
  <c r="G149" i="5"/>
  <c r="H149" i="5"/>
  <c r="A150" i="5"/>
  <c r="B150" i="5"/>
  <c r="C150" i="5"/>
  <c r="D150" i="5"/>
  <c r="E150" i="5"/>
  <c r="F150" i="5"/>
  <c r="G150" i="5"/>
  <c r="H150" i="5"/>
  <c r="A151" i="5"/>
  <c r="B151" i="5"/>
  <c r="C151" i="5"/>
  <c r="D151" i="5"/>
  <c r="E151" i="5"/>
  <c r="F151" i="5"/>
  <c r="G151" i="5"/>
  <c r="H151" i="5"/>
  <c r="A152" i="5"/>
  <c r="B152" i="5"/>
  <c r="C152" i="5"/>
  <c r="D152" i="5"/>
  <c r="E152" i="5"/>
  <c r="F152" i="5"/>
  <c r="G152" i="5"/>
  <c r="H152" i="5"/>
  <c r="A153" i="5"/>
  <c r="C153" i="5"/>
  <c r="D153" i="5"/>
  <c r="E153" i="5"/>
  <c r="F153" i="5"/>
  <c r="G153" i="5"/>
  <c r="H153" i="5"/>
  <c r="A154" i="5"/>
  <c r="C154" i="5"/>
  <c r="D154" i="5"/>
  <c r="E154" i="5"/>
  <c r="F154" i="5"/>
  <c r="G154" i="5"/>
  <c r="H154" i="5"/>
  <c r="A155" i="5"/>
  <c r="B155" i="5"/>
  <c r="D155" i="5"/>
  <c r="E155" i="5"/>
  <c r="F155" i="5"/>
  <c r="G155" i="5"/>
  <c r="H155" i="5"/>
  <c r="A156" i="5"/>
  <c r="B156" i="5"/>
  <c r="C156" i="5"/>
  <c r="D156" i="5"/>
  <c r="E156" i="5"/>
  <c r="F156" i="5"/>
  <c r="G156" i="5"/>
  <c r="H156" i="5"/>
  <c r="A157" i="5"/>
  <c r="B157" i="5"/>
  <c r="C157" i="5"/>
  <c r="D157" i="5"/>
  <c r="E157" i="5"/>
  <c r="F157" i="5"/>
  <c r="G157" i="5"/>
  <c r="H157" i="5"/>
  <c r="A158" i="5"/>
  <c r="B158" i="5"/>
  <c r="C158" i="5"/>
  <c r="D158" i="5"/>
  <c r="E158" i="5"/>
  <c r="F158" i="5"/>
  <c r="G158" i="5"/>
  <c r="H158" i="5"/>
  <c r="A159" i="5"/>
  <c r="B159" i="5"/>
  <c r="C159" i="5"/>
  <c r="D159" i="5"/>
  <c r="E159" i="5"/>
  <c r="F159" i="5"/>
  <c r="G159" i="5"/>
  <c r="H159" i="5"/>
  <c r="A160" i="5"/>
  <c r="B160" i="5"/>
  <c r="C160" i="5"/>
  <c r="D160" i="5"/>
  <c r="E160" i="5"/>
  <c r="F160" i="5"/>
  <c r="G160" i="5"/>
  <c r="H160" i="5"/>
  <c r="A161" i="5"/>
  <c r="B161" i="5"/>
  <c r="C161" i="5"/>
  <c r="D161" i="5"/>
  <c r="E161" i="5"/>
  <c r="F161" i="5"/>
  <c r="G161" i="5"/>
  <c r="H161" i="5"/>
  <c r="A162" i="5"/>
  <c r="B162" i="5"/>
  <c r="C162" i="5"/>
  <c r="D162" i="5"/>
  <c r="E162" i="5"/>
  <c r="F162" i="5"/>
  <c r="G162" i="5"/>
  <c r="H162" i="5"/>
  <c r="A163" i="5"/>
  <c r="B163" i="5"/>
  <c r="C163" i="5"/>
  <c r="D163" i="5"/>
  <c r="E163" i="5"/>
  <c r="F163" i="5"/>
  <c r="G163" i="5"/>
  <c r="H163" i="5"/>
  <c r="A164" i="5"/>
  <c r="B164" i="5"/>
  <c r="C164" i="5"/>
  <c r="D164" i="5"/>
  <c r="E164" i="5"/>
  <c r="F164" i="5"/>
  <c r="G164" i="5"/>
  <c r="H164" i="5"/>
  <c r="A165" i="5"/>
  <c r="B165" i="5"/>
  <c r="C165" i="5"/>
  <c r="D165" i="5"/>
  <c r="E165" i="5"/>
  <c r="F165" i="5"/>
  <c r="G165" i="5"/>
  <c r="H165" i="5"/>
  <c r="A166" i="5"/>
  <c r="B166" i="5"/>
  <c r="C166" i="5"/>
  <c r="D166" i="5"/>
  <c r="E166" i="5"/>
  <c r="F166" i="5"/>
  <c r="G166" i="5"/>
  <c r="H166" i="5"/>
  <c r="A167" i="5"/>
  <c r="B167" i="5"/>
  <c r="C167" i="5"/>
  <c r="D167" i="5"/>
  <c r="E167" i="5"/>
  <c r="F167" i="5"/>
  <c r="G167" i="5"/>
  <c r="H167" i="5"/>
  <c r="A168" i="5"/>
  <c r="B168" i="5"/>
  <c r="C168" i="5"/>
  <c r="D168" i="5"/>
  <c r="E168" i="5"/>
  <c r="F168" i="5"/>
  <c r="G168" i="5"/>
  <c r="H168" i="5"/>
  <c r="A169" i="5"/>
  <c r="B169" i="5"/>
  <c r="C169" i="5"/>
  <c r="D169" i="5"/>
  <c r="E169" i="5"/>
  <c r="F169" i="5"/>
  <c r="G169" i="5"/>
  <c r="H169" i="5"/>
  <c r="A170" i="5"/>
  <c r="B170" i="5"/>
  <c r="C170" i="5"/>
  <c r="D170" i="5"/>
  <c r="E170" i="5"/>
  <c r="F170" i="5"/>
  <c r="G170" i="5"/>
  <c r="H170" i="5"/>
  <c r="A171" i="5"/>
  <c r="B171" i="5"/>
  <c r="C171" i="5"/>
  <c r="D171" i="5"/>
  <c r="E171" i="5"/>
  <c r="F171" i="5"/>
  <c r="G171" i="5"/>
  <c r="H171" i="5"/>
  <c r="A172" i="5"/>
  <c r="B172" i="5"/>
  <c r="C172" i="5"/>
  <c r="D172" i="5"/>
  <c r="E172" i="5"/>
  <c r="F172" i="5"/>
  <c r="G172" i="5"/>
  <c r="H172" i="5"/>
  <c r="A173" i="5"/>
  <c r="B173" i="5"/>
  <c r="C173" i="5"/>
  <c r="D173" i="5"/>
  <c r="E173" i="5"/>
  <c r="F173" i="5"/>
  <c r="G173" i="5"/>
  <c r="H173" i="5"/>
  <c r="A174" i="5"/>
  <c r="B174" i="5"/>
  <c r="C174" i="5"/>
  <c r="D174" i="5"/>
  <c r="E174" i="5"/>
  <c r="F174" i="5"/>
  <c r="G174" i="5"/>
  <c r="H174" i="5"/>
  <c r="A175" i="5"/>
  <c r="B175" i="5"/>
  <c r="C175" i="5"/>
  <c r="D175" i="5"/>
  <c r="E175" i="5"/>
  <c r="F175" i="5"/>
  <c r="G175" i="5"/>
  <c r="H175" i="5"/>
  <c r="A176" i="5"/>
  <c r="B176" i="5"/>
  <c r="C176" i="5"/>
  <c r="D176" i="5"/>
  <c r="E176" i="5"/>
  <c r="F176" i="5"/>
  <c r="G176" i="5"/>
  <c r="H176" i="5"/>
  <c r="A177" i="5"/>
  <c r="B177" i="5"/>
  <c r="C177" i="5"/>
  <c r="D177" i="5"/>
  <c r="E177" i="5"/>
  <c r="F177" i="5"/>
  <c r="G177" i="5"/>
  <c r="H177" i="5"/>
  <c r="A178" i="5"/>
  <c r="B178" i="5"/>
  <c r="C178" i="5"/>
  <c r="D178" i="5"/>
  <c r="E178" i="5"/>
  <c r="F178" i="5"/>
  <c r="G178" i="5"/>
  <c r="H178" i="5"/>
  <c r="A179" i="5"/>
  <c r="B179" i="5"/>
  <c r="C179" i="5"/>
  <c r="D179" i="5"/>
  <c r="E179" i="5"/>
  <c r="F179" i="5"/>
  <c r="G179" i="5"/>
  <c r="H179" i="5"/>
  <c r="A180" i="5"/>
  <c r="B180" i="5"/>
  <c r="C180" i="5"/>
  <c r="D180" i="5"/>
  <c r="E180" i="5"/>
  <c r="F180" i="5"/>
  <c r="G180" i="5"/>
  <c r="H180" i="5"/>
  <c r="A181" i="5"/>
  <c r="B181" i="5"/>
  <c r="C181" i="5"/>
  <c r="D181" i="5"/>
  <c r="E181" i="5"/>
  <c r="F181" i="5"/>
  <c r="G181" i="5"/>
  <c r="H181" i="5"/>
  <c r="A182" i="5"/>
  <c r="B182" i="5"/>
  <c r="C182" i="5"/>
  <c r="D182" i="5"/>
  <c r="E182" i="5"/>
  <c r="F182" i="5"/>
  <c r="G182" i="5"/>
  <c r="H182" i="5"/>
  <c r="A183" i="5"/>
  <c r="B183" i="5"/>
  <c r="C183" i="5"/>
  <c r="D183" i="5"/>
  <c r="E183" i="5"/>
  <c r="F183" i="5"/>
  <c r="G183" i="5"/>
  <c r="H183" i="5"/>
  <c r="A184" i="5"/>
  <c r="B184" i="5"/>
  <c r="C184" i="5"/>
  <c r="D184" i="5"/>
  <c r="E184" i="5"/>
  <c r="F184" i="5"/>
  <c r="G184" i="5"/>
  <c r="H184" i="5"/>
  <c r="A185" i="5"/>
  <c r="B185" i="5"/>
  <c r="C185" i="5"/>
  <c r="D185" i="5"/>
  <c r="E185" i="5"/>
  <c r="F185" i="5"/>
  <c r="G185" i="5"/>
  <c r="H185" i="5"/>
  <c r="A186" i="5"/>
  <c r="B186" i="5"/>
  <c r="C186" i="5"/>
  <c r="D186" i="5"/>
  <c r="E186" i="5"/>
  <c r="F186" i="5"/>
  <c r="G186" i="5"/>
  <c r="H186" i="5"/>
  <c r="A187" i="5"/>
  <c r="B187" i="5"/>
  <c r="C187" i="5"/>
  <c r="D187" i="5"/>
  <c r="E187" i="5"/>
  <c r="F187" i="5"/>
  <c r="G187" i="5"/>
  <c r="H187" i="5"/>
  <c r="A188" i="5"/>
  <c r="B188" i="5"/>
  <c r="C188" i="5"/>
  <c r="D188" i="5"/>
  <c r="E188" i="5"/>
  <c r="F188" i="5"/>
  <c r="G188" i="5"/>
  <c r="H188" i="5"/>
  <c r="A189" i="5"/>
  <c r="B189" i="5"/>
  <c r="C189" i="5"/>
  <c r="D189" i="5"/>
  <c r="E189" i="5"/>
  <c r="F189" i="5"/>
  <c r="G189" i="5"/>
  <c r="H189" i="5"/>
  <c r="A190" i="5"/>
  <c r="B190" i="5"/>
  <c r="C190" i="5"/>
  <c r="D190" i="5"/>
  <c r="E190" i="5"/>
  <c r="F190" i="5"/>
  <c r="G190" i="5"/>
  <c r="H190" i="5"/>
  <c r="A191" i="5"/>
  <c r="B191" i="5"/>
  <c r="C191" i="5"/>
  <c r="D191" i="5"/>
  <c r="E191" i="5"/>
  <c r="F191" i="5"/>
  <c r="G191" i="5"/>
  <c r="H191" i="5"/>
  <c r="A192" i="5"/>
  <c r="B192" i="5"/>
  <c r="C192" i="5"/>
  <c r="D192" i="5"/>
  <c r="E192" i="5"/>
  <c r="F192" i="5"/>
  <c r="G192" i="5"/>
  <c r="H192" i="5"/>
  <c r="A193" i="5"/>
  <c r="B193" i="5"/>
  <c r="C193" i="5"/>
  <c r="D193" i="5"/>
  <c r="E193" i="5"/>
  <c r="F193" i="5"/>
  <c r="G193" i="5"/>
  <c r="H193" i="5"/>
  <c r="A194" i="5"/>
  <c r="B194" i="5"/>
  <c r="C194" i="5"/>
  <c r="D194" i="5"/>
  <c r="E194" i="5"/>
  <c r="F194" i="5"/>
  <c r="G194" i="5"/>
  <c r="H194" i="5"/>
  <c r="A195" i="5"/>
  <c r="B195" i="5"/>
  <c r="C195" i="5"/>
  <c r="D195" i="5"/>
  <c r="E195" i="5"/>
  <c r="F195" i="5"/>
  <c r="G195" i="5"/>
  <c r="H195" i="5"/>
  <c r="A196" i="5"/>
  <c r="B196" i="5"/>
  <c r="C196" i="5"/>
  <c r="D196" i="5"/>
  <c r="E196" i="5"/>
  <c r="F196" i="5"/>
  <c r="G196" i="5"/>
  <c r="H196" i="5"/>
  <c r="A197" i="5"/>
  <c r="B197" i="5"/>
  <c r="C197" i="5"/>
  <c r="D197" i="5"/>
  <c r="E197" i="5"/>
  <c r="F197" i="5"/>
  <c r="G197" i="5"/>
  <c r="H197" i="5"/>
  <c r="A198" i="5"/>
  <c r="B198" i="5"/>
  <c r="C198" i="5"/>
  <c r="D198" i="5"/>
  <c r="E198" i="5"/>
  <c r="F198" i="5"/>
  <c r="G198" i="5"/>
  <c r="H198" i="5"/>
  <c r="A199" i="5"/>
  <c r="B199" i="5"/>
  <c r="C199" i="5"/>
  <c r="D199" i="5"/>
  <c r="E199" i="5"/>
  <c r="F199" i="5"/>
  <c r="G199" i="5"/>
  <c r="H199" i="5"/>
  <c r="A200" i="5"/>
  <c r="B200" i="5"/>
  <c r="C200" i="5"/>
  <c r="D200" i="5"/>
  <c r="E200" i="5"/>
  <c r="F200" i="5"/>
  <c r="G200" i="5"/>
  <c r="H200" i="5"/>
  <c r="A201" i="5"/>
  <c r="B201" i="5"/>
  <c r="C201" i="5"/>
  <c r="D201" i="5"/>
  <c r="E201" i="5"/>
  <c r="F201" i="5"/>
  <c r="G201" i="5"/>
  <c r="H201" i="5"/>
  <c r="A202" i="5"/>
  <c r="B202" i="5"/>
  <c r="C202" i="5"/>
  <c r="D202" i="5"/>
  <c r="E202" i="5"/>
  <c r="F202" i="5"/>
  <c r="G202" i="5"/>
  <c r="H202" i="5"/>
  <c r="A203" i="5"/>
  <c r="B203" i="5"/>
  <c r="C203" i="5"/>
  <c r="D203" i="5"/>
  <c r="E203" i="5"/>
  <c r="F203" i="5"/>
  <c r="G203" i="5"/>
  <c r="H203" i="5"/>
  <c r="A204" i="5"/>
  <c r="B204" i="5"/>
  <c r="C204" i="5"/>
  <c r="D204" i="5"/>
  <c r="E204" i="5"/>
  <c r="F204" i="5"/>
  <c r="G204" i="5"/>
  <c r="H204" i="5"/>
  <c r="A205" i="5"/>
  <c r="B205" i="5"/>
  <c r="C205" i="5"/>
  <c r="D205" i="5"/>
  <c r="E205" i="5"/>
  <c r="F205" i="5"/>
  <c r="G205" i="5"/>
  <c r="H205" i="5"/>
  <c r="A206" i="5"/>
  <c r="B206" i="5"/>
  <c r="C206" i="5"/>
  <c r="D206" i="5"/>
  <c r="E206" i="5"/>
  <c r="F206" i="5"/>
  <c r="G206" i="5"/>
  <c r="H206" i="5"/>
  <c r="A207" i="5"/>
  <c r="B207" i="5"/>
  <c r="C207" i="5"/>
  <c r="D207" i="5"/>
  <c r="E207" i="5"/>
  <c r="F207" i="5"/>
  <c r="G207" i="5"/>
  <c r="H207" i="5"/>
  <c r="A208" i="5"/>
  <c r="B208" i="5"/>
  <c r="C208" i="5"/>
  <c r="D208" i="5"/>
  <c r="E208" i="5"/>
  <c r="F208" i="5"/>
  <c r="G208" i="5"/>
  <c r="H208" i="5"/>
  <c r="A209" i="5"/>
  <c r="B209" i="5"/>
  <c r="C209" i="5"/>
  <c r="D209" i="5"/>
  <c r="E209" i="5"/>
  <c r="F209" i="5"/>
  <c r="G209" i="5"/>
  <c r="H209" i="5"/>
  <c r="A210" i="5"/>
  <c r="B210" i="5"/>
  <c r="C210" i="5"/>
  <c r="D210" i="5"/>
  <c r="E210" i="5"/>
  <c r="F210" i="5"/>
  <c r="G210" i="5"/>
  <c r="H210" i="5"/>
  <c r="A211" i="5"/>
  <c r="B211" i="5"/>
  <c r="C211" i="5"/>
  <c r="D211" i="5"/>
  <c r="E211" i="5"/>
  <c r="F211" i="5"/>
  <c r="G211" i="5"/>
  <c r="H211" i="5"/>
  <c r="A212" i="5"/>
  <c r="B212" i="5"/>
  <c r="C212" i="5"/>
  <c r="D212" i="5"/>
  <c r="E212" i="5"/>
  <c r="F212" i="5"/>
  <c r="G212" i="5"/>
  <c r="H212" i="5"/>
  <c r="A213" i="5"/>
  <c r="B213" i="5"/>
  <c r="C213" i="5"/>
  <c r="D213" i="5"/>
  <c r="E213" i="5"/>
  <c r="F213" i="5"/>
  <c r="G213" i="5"/>
  <c r="H213" i="5"/>
  <c r="C155" i="2"/>
  <c r="O56" i="1"/>
  <c r="I56" i="2"/>
  <c r="S28" i="1"/>
  <c r="S15" i="1"/>
  <c r="P96" i="1"/>
  <c r="P31" i="1"/>
  <c r="Q96" i="1"/>
  <c r="Q31" i="1"/>
  <c r="C62" i="11"/>
  <c r="O141" i="1" l="1"/>
  <c r="I141" i="2" s="1"/>
  <c r="C141" i="4"/>
  <c r="B16" i="5"/>
  <c r="B141" i="2"/>
  <c r="S141" i="1"/>
  <c r="C4" i="4"/>
  <c r="C154" i="4" s="1"/>
  <c r="B153" i="6"/>
  <c r="B141" i="5"/>
  <c r="B153" i="5" s="1"/>
  <c r="B11" i="5"/>
  <c r="P141" i="1"/>
  <c r="R11" i="1"/>
  <c r="R155" i="1" s="1"/>
  <c r="B11" i="6"/>
  <c r="S11" i="1"/>
  <c r="Q16" i="1"/>
  <c r="R16" i="1"/>
  <c r="S16" i="1"/>
  <c r="B16" i="2"/>
  <c r="C11" i="4"/>
  <c r="O29" i="1"/>
  <c r="I29" i="2" s="1"/>
  <c r="B29" i="6"/>
  <c r="P29" i="1"/>
  <c r="Q29" i="1"/>
  <c r="R29" i="1"/>
  <c r="S29" i="1"/>
  <c r="O4" i="1"/>
  <c r="I4" i="2" s="1"/>
  <c r="Q4" i="1"/>
  <c r="Q155" i="1" s="1"/>
  <c r="S4" i="1"/>
  <c r="S155" i="1" s="1"/>
  <c r="B4" i="3"/>
  <c r="B7" i="3"/>
  <c r="B7" i="6"/>
  <c r="O7" i="1"/>
  <c r="I7" i="2" s="1"/>
  <c r="P7" i="1"/>
  <c r="Q7" i="1"/>
  <c r="R7" i="1"/>
  <c r="S7" i="1"/>
  <c r="B29" i="2"/>
  <c r="B153" i="2" s="1"/>
  <c r="R31" i="1"/>
  <c r="B31" i="6"/>
  <c r="B31" i="3"/>
  <c r="B153" i="3" s="1"/>
  <c r="D156" i="4"/>
  <c r="C155" i="5"/>
  <c r="C155" i="6"/>
  <c r="C63" i="8"/>
  <c r="B4" i="6"/>
  <c r="B155" i="1"/>
  <c r="R141" i="1"/>
  <c r="O31" i="1"/>
  <c r="I31" i="2" s="1"/>
  <c r="B29" i="5"/>
  <c r="P4" i="1"/>
  <c r="P11" i="1"/>
  <c r="B15" i="3"/>
  <c r="P155" i="1" l="1"/>
  <c r="B154" i="2"/>
  <c r="B154" i="5"/>
  <c r="C155" i="4"/>
  <c r="B154" i="6"/>
  <c r="O155" i="1"/>
  <c r="I154" i="2" s="1"/>
</calcChain>
</file>

<file path=xl/sharedStrings.xml><?xml version="1.0" encoding="utf-8"?>
<sst xmlns="http://schemas.openxmlformats.org/spreadsheetml/2006/main" count="453" uniqueCount="161">
  <si>
    <t>Велес гоголя 180</t>
  </si>
  <si>
    <t>Велес красина 180</t>
  </si>
  <si>
    <t>департамент финансов советская 66-150 резаный</t>
  </si>
  <si>
    <t>метрополис к. Маркса -2x180, 2x150</t>
  </si>
  <si>
    <t>метрополис Москва-2х180</t>
  </si>
  <si>
    <t>МТС ленина 6 180</t>
  </si>
  <si>
    <t>пальмира Ленина 5- 200 новый  150 нов</t>
  </si>
  <si>
    <t>чунунок к. Мяготина-2x180</t>
  </si>
  <si>
    <t>Сбер академия 2х150 коричнев стар</t>
  </si>
  <si>
    <t>Сбер красина 2х150</t>
  </si>
  <si>
    <t>сбербанк гоголя 98-3ий вход 1 х 150</t>
  </si>
  <si>
    <t>сбербанк гоголя103- 2х150 коричневые</t>
  </si>
  <si>
    <t>Велес дзержинского 180</t>
  </si>
  <si>
    <t>велес юбилейный-150 новый</t>
  </si>
  <si>
    <t>газпроммежрегионгаз- 2x150, 180 </t>
  </si>
  <si>
    <t>Кижк 400 рез, 180</t>
  </si>
  <si>
    <t>кодак Кирова-150 старые </t>
  </si>
  <si>
    <t>мегаблин гоголя-180 </t>
  </si>
  <si>
    <t>Монетка гоголя 103 -180</t>
  </si>
  <si>
    <t>Монетка кирова 180</t>
  </si>
  <si>
    <t>Монетка красина 180</t>
  </si>
  <si>
    <t>Монетка пушкина 49-180</t>
  </si>
  <si>
    <t>Монтка Ленина М Горько 180</t>
  </si>
  <si>
    <t>Мясной к. маркса 150 рез</t>
  </si>
  <si>
    <t>Мясной советская 39 180 </t>
  </si>
  <si>
    <t>Пальмира гоголя 150</t>
  </si>
  <si>
    <t>пальмира юбилейный-180 НОВЫЙ</t>
  </si>
  <si>
    <t>прогресс Пролетарская-180, 60x80</t>
  </si>
  <si>
    <t>прогресс советская 180, 150 новые</t>
  </si>
  <si>
    <t>сбербанк гоголя 98-1 вх 3Х150 коричневые </t>
  </si>
  <si>
    <t xml:space="preserve">сбербанк гоголя 98-2ой вход 2х180 </t>
  </si>
  <si>
    <t>теремок Куйбышева -150 старый</t>
  </si>
  <si>
    <t>Тп 2х180</t>
  </si>
  <si>
    <t>Хлеб да мясо 150 резаный хороший </t>
  </si>
  <si>
    <t>Яхонт ленина 150</t>
  </si>
  <si>
    <t>Авангард банк красина 180 сер. 1 шт</t>
  </si>
  <si>
    <t>Альфа банк гоголя 180</t>
  </si>
  <si>
    <t>Альфа банк Гоголя-красина 150 сер.нов.1 шт.</t>
  </si>
  <si>
    <t>Альфа мед гоголя-2х180</t>
  </si>
  <si>
    <t>Альфа мед к.маркса -2х180,(ц.зд. Женщины, кометология)</t>
  </si>
  <si>
    <t>Аннушка куйбышева 180</t>
  </si>
  <si>
    <t>Аптека гоголя 37-150 </t>
  </si>
  <si>
    <t>Аптека гоголя 9-150</t>
  </si>
  <si>
    <t>Аптека ленина 5-150</t>
  </si>
  <si>
    <t>Аптека пушкина 91-2х150</t>
  </si>
  <si>
    <t>Атлант кирова 250 </t>
  </si>
  <si>
    <t>Банк России 180   2шт</t>
  </si>
  <si>
    <t>Баон 150</t>
  </si>
  <si>
    <t>Буше горького 150</t>
  </si>
  <si>
    <t>Буше красина  150 нов</t>
  </si>
  <si>
    <t>Втб гоголя-250</t>
  </si>
  <si>
    <t>Втб куйбышева 180</t>
  </si>
  <si>
    <t>Газпром банк гоголя-180 </t>
  </si>
  <si>
    <t>Друзья друзей 2х150</t>
  </si>
  <si>
    <t>Жизнь март пролетарская -180</t>
  </si>
  <si>
    <t>инвитро красина-3х150 новые</t>
  </si>
  <si>
    <t>Инвитро ленина-2х150 новые стелим на себя</t>
  </si>
  <si>
    <t>Курган Доставка</t>
  </si>
  <si>
    <t>Летуаль 180</t>
  </si>
  <si>
    <t>М.горького 40  180*2</t>
  </si>
  <si>
    <t>Магнит Володарского 180 </t>
  </si>
  <si>
    <t>Магнит гоголя 38-180</t>
  </si>
  <si>
    <t>Магнит гоголя 66-180</t>
  </si>
  <si>
    <t>Магнит Гоголя 76 180</t>
  </si>
  <si>
    <t>Магнит К.маркса 180</t>
  </si>
  <si>
    <t>магнит красина 180</t>
  </si>
  <si>
    <t>Магнит советская 39 180</t>
  </si>
  <si>
    <t>Магнит советская 40 180</t>
  </si>
  <si>
    <t>Мегафон советская 2х150 рез</t>
  </si>
  <si>
    <t>мтс гоголя 53 - 180серый 1</t>
  </si>
  <si>
    <t>МТС Пушкина 150</t>
  </si>
  <si>
    <t>мтс Пушкина 167- 150</t>
  </si>
  <si>
    <t>Промсвязь банк 150,180</t>
  </si>
  <si>
    <t>Ресторан СОЛО Куйбышева</t>
  </si>
  <si>
    <t>Теле2 гоголя-150 резаный</t>
  </si>
  <si>
    <t>Томография К. маркса</t>
  </si>
  <si>
    <t>Фикс прайс к.мяготина 180*2</t>
  </si>
  <si>
    <t>Фикс советска40-2х180</t>
  </si>
  <si>
    <t>Чистый квартал 150, 80х80</t>
  </si>
  <si>
    <t>Япоки гоголя-180</t>
  </si>
  <si>
    <t>4 сезона ленина-180</t>
  </si>
  <si>
    <t>Александрит 150 рез </t>
  </si>
  <si>
    <t>Алеф-банк 150 НОЯБРЬ </t>
  </si>
  <si>
    <t>Альфастрахование 2х180</t>
  </si>
  <si>
    <t>Аптека советская ленина 150</t>
  </si>
  <si>
    <t>Баден Ленина-200 старый</t>
  </si>
  <si>
    <t>Банк курган Гоголя 180 </t>
  </si>
  <si>
    <t>Банк курган площадь 150 сер. 1шт. </t>
  </si>
  <si>
    <t>Банк России 150   2шт</t>
  </si>
  <si>
    <t>Бенетон 150</t>
  </si>
  <si>
    <t>Вояж володарская150 сер. 1 шт.нов.</t>
  </si>
  <si>
    <t>Газпроммежрегионгаз Гоголя 98   1x150</t>
  </si>
  <si>
    <t>газпроммежрегионгаз- 5х150</t>
  </si>
  <si>
    <t>Джинса ленина 150</t>
  </si>
  <si>
    <t>Джулия пролетарская  200 хороший</t>
  </si>
  <si>
    <t>Джулия советская 180 </t>
  </si>
  <si>
    <t>Ив роше Ленина180</t>
  </si>
  <si>
    <t>Ик надежда 150</t>
  </si>
  <si>
    <t>Инвитро пушкина 189-2х150</t>
  </si>
  <si>
    <t>Инвитро юбилейный 180</t>
  </si>
  <si>
    <t>Ингострах 2х150</t>
  </si>
  <si>
    <t>Календарь подарков ленина-180</t>
  </si>
  <si>
    <t>Каменный цветок омская 101 150 нов</t>
  </si>
  <si>
    <t>Карэ гараж К.Маркса 60а    150</t>
  </si>
  <si>
    <t>Карэ гоголя 37 150 нов. кор. </t>
  </si>
  <si>
    <t>Карэ к. Маркса 46 3х150 нов кор</t>
  </si>
  <si>
    <t>Карэ ленина 150 коричневый</t>
  </si>
  <si>
    <t>Комиссоныч юбилейный-150 рез. </t>
  </si>
  <si>
    <t>Консультант + васильева 7 240старый </t>
  </si>
  <si>
    <t>Мед центр  космольская 180</t>
  </si>
  <si>
    <t>Мисс т 150 сер, нов. 1шт.</t>
  </si>
  <si>
    <t>Неил хаус 150 новый</t>
  </si>
  <si>
    <t>Обувные ленина-3х150 старые </t>
  </si>
  <si>
    <t>Омс 2х180</t>
  </si>
  <si>
    <t>Отель сервис, ресторан 180х3</t>
  </si>
  <si>
    <t>Отп ленина-150 резаный </t>
  </si>
  <si>
    <t>Офис центр куйбышева-красина 180,150рез</t>
  </si>
  <si>
    <t>Палаццо Гоголя150 рез</t>
  </si>
  <si>
    <t>Парикмахерская тут бут 2х150 нов</t>
  </si>
  <si>
    <t>Планета обуви ленина- 2х200 старые</t>
  </si>
  <si>
    <t>Платинум володарская150 сер. 1 шт.</t>
  </si>
  <si>
    <t>Платон к.Мяготина 180</t>
  </si>
  <si>
    <t>Подиум ленина 180</t>
  </si>
  <si>
    <t>Прайм фитнес клуб 2х150 новые </t>
  </si>
  <si>
    <t xml:space="preserve">Пышка </t>
  </si>
  <si>
    <t>Разговоры ЦПКОИ 180</t>
  </si>
  <si>
    <t>Рикер ленина-200 старый </t>
  </si>
  <si>
    <t>Саквояж ленина-180</t>
  </si>
  <si>
    <t>Сибирский газовик володарского 65, 150 сер. 3 шт</t>
  </si>
  <si>
    <t>Скорпион 150 </t>
  </si>
  <si>
    <t>Совкомбанк Ленина 180</t>
  </si>
  <si>
    <t>совкомбанк гоголя-180 </t>
  </si>
  <si>
    <t>Стиляги площадь серый новый 150+150</t>
  </si>
  <si>
    <t>Триумф 180</t>
  </si>
  <si>
    <t>Фам-150</t>
  </si>
  <si>
    <t>Франческо донни 150 рез. </t>
  </si>
  <si>
    <t>чунунок к. Мяготина-1x180</t>
  </si>
  <si>
    <t>Швейный мир 2-60х80</t>
  </si>
  <si>
    <t>Эльшуз 150 </t>
  </si>
  <si>
    <t>Япошка Юбилейный 150 резаный</t>
  </si>
  <si>
    <t>Plaza томина 150 ноябрь </t>
  </si>
  <si>
    <t>SoupRamen 180  </t>
  </si>
  <si>
    <t>Каре Куйбышева 150</t>
  </si>
  <si>
    <t xml:space="preserve">рез </t>
  </si>
  <si>
    <t>пн</t>
  </si>
  <si>
    <t>вт</t>
  </si>
  <si>
    <t>ср</t>
  </si>
  <si>
    <t>чт</t>
  </si>
  <si>
    <t>пт</t>
  </si>
  <si>
    <t>60*80</t>
  </si>
  <si>
    <t>МТС Пушкина    150</t>
  </si>
  <si>
    <t>Алые паруса  4*400</t>
  </si>
  <si>
    <t>Теле 2 машиностроителей 3а     150</t>
  </si>
  <si>
    <t>дом хлеба Машиностроителей     150</t>
  </si>
  <si>
    <t>Компас рыбацкий Машиностр, 1     400 2шт рез</t>
  </si>
  <si>
    <t>Хлеб да мясо Некрасова, 1          150</t>
  </si>
  <si>
    <t>Алые Паруса 4*400 и 3*240</t>
  </si>
  <si>
    <t xml:space="preserve">  </t>
  </si>
  <si>
    <t>кардио центр   180 1шт</t>
  </si>
  <si>
    <t>Кардио центр  180 3шт   150  1шт</t>
  </si>
  <si>
    <t>Отель Централь, ресторан 180х3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</si>
</sst>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;[Red]\-#,##0"/>
  </numFmts>
  <fonts count="8"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sz val="11"/>
      <color indexed="8"/>
      <name val="UICTFontTextStyleBody"/>
    </font>
    <font>
      <sz val="11"/>
      <color indexed="8"/>
      <name val="UICTFontTextStyleBody"/>
      <charset val="204"/>
    </font>
    <font>
      <sz val="11"/>
      <name val="UICTFontTextStyleBody"/>
    </font>
    <font>
      <b/>
      <sz val="11"/>
      <color indexed="8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172" fontId="0" fillId="0" borderId="0" xfId="0" applyNumberFormat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172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0" xfId="0" applyNumberFormat="1" applyFont="1"/>
    <xf numFmtId="0" fontId="5" fillId="0" borderId="1" xfId="0" applyFont="1" applyBorder="1"/>
    <xf numFmtId="0" fontId="5" fillId="0" borderId="0" xfId="0" applyFont="1"/>
    <xf numFmtId="0" fontId="0" fillId="0" borderId="2" xfId="0" applyBorder="1"/>
    <xf numFmtId="0" fontId="5" fillId="0" borderId="2" xfId="0" applyFont="1" applyBorder="1"/>
    <xf numFmtId="0" fontId="0" fillId="0" borderId="2" xfId="0" applyFill="1" applyBorder="1"/>
    <xf numFmtId="0" fontId="0" fillId="0" borderId="0" xfId="0" applyFill="1"/>
    <xf numFmtId="0" fontId="7" fillId="0" borderId="0" xfId="0" applyFont="1" applyFill="1"/>
    <xf numFmtId="0" fontId="6" fillId="0" borderId="0" xfId="0" applyFont="1"/>
    <xf numFmtId="0" fontId="6" fillId="0" borderId="2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0"/>
  <sheetViews>
    <sheetView topLeftCell="A69" zoomScale="90" zoomScaleNormal="90" workbookViewId="0">
      <selection activeCell="M82" sqref="M82"/>
    </sheetView>
  </sheetViews>
  <sheetFormatPr defaultRowHeight="15"/>
  <cols>
    <col min="1" max="1" width="40.28515625" customWidth="1"/>
    <col min="2" max="2" width="7.7109375" customWidth="1"/>
    <col min="3" max="4" width="5.140625" customWidth="1"/>
    <col min="5" max="5" width="5.42578125" customWidth="1"/>
    <col min="6" max="6" width="5.140625" customWidth="1"/>
    <col min="7" max="7" width="4" customWidth="1"/>
    <col min="8" max="8" width="3" customWidth="1"/>
    <col min="9" max="9" width="4.140625" style="1" customWidth="1"/>
    <col min="10" max="13" width="3.85546875" style="1" customWidth="1"/>
    <col min="14" max="14" width="3.7109375" style="2" customWidth="1"/>
  </cols>
  <sheetData>
    <row r="1" spans="1:19">
      <c r="A1" s="3" t="s">
        <v>0</v>
      </c>
      <c r="B1" s="4">
        <v>2.0699999999999998</v>
      </c>
      <c r="C1" s="4">
        <v>1</v>
      </c>
      <c r="D1" s="4"/>
      <c r="E1" s="4"/>
      <c r="F1" s="4"/>
      <c r="G1" s="4"/>
      <c r="H1" s="4">
        <v>5</v>
      </c>
      <c r="I1" s="5">
        <v>1</v>
      </c>
      <c r="J1" s="5">
        <v>1</v>
      </c>
      <c r="K1" s="5">
        <v>1</v>
      </c>
      <c r="L1" s="5">
        <v>1</v>
      </c>
      <c r="M1" s="5">
        <v>1</v>
      </c>
      <c r="N1" s="6">
        <f t="shared" ref="N1:N153" si="0">SUM(I1:M1)-H1</f>
        <v>0</v>
      </c>
      <c r="O1" s="4">
        <f t="shared" ref="O1:O153" si="1">I1*B1</f>
        <v>2.0699999999999998</v>
      </c>
      <c r="P1" s="4">
        <f t="shared" ref="P1:P153" si="2">J1*B1</f>
        <v>2.0699999999999998</v>
      </c>
      <c r="Q1" s="4">
        <f t="shared" ref="Q1:Q153" si="3">K1*B1</f>
        <v>2.0699999999999998</v>
      </c>
      <c r="R1" s="4">
        <f t="shared" ref="R1:R153" si="4">L1*B1</f>
        <v>2.0699999999999998</v>
      </c>
      <c r="S1" s="4">
        <f t="shared" ref="S1:S153" si="5">M1*B1</f>
        <v>2.0699999999999998</v>
      </c>
    </row>
    <row r="2" spans="1:19">
      <c r="A2" s="3" t="s">
        <v>1</v>
      </c>
      <c r="B2" s="4">
        <v>2.0699999999999998</v>
      </c>
      <c r="C2" s="4">
        <v>1</v>
      </c>
      <c r="D2" s="4"/>
      <c r="E2" s="4"/>
      <c r="F2" s="4"/>
      <c r="G2" s="4"/>
      <c r="H2" s="4">
        <v>5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6">
        <f t="shared" si="0"/>
        <v>0</v>
      </c>
      <c r="O2" s="4">
        <f t="shared" si="1"/>
        <v>2.0699999999999998</v>
      </c>
      <c r="P2" s="4">
        <f t="shared" si="2"/>
        <v>2.0699999999999998</v>
      </c>
      <c r="Q2" s="4">
        <f t="shared" si="3"/>
        <v>2.0699999999999998</v>
      </c>
      <c r="R2" s="4">
        <f t="shared" si="4"/>
        <v>2.0699999999999998</v>
      </c>
      <c r="S2" s="4">
        <f t="shared" si="5"/>
        <v>2.0699999999999998</v>
      </c>
    </row>
    <row r="3" spans="1:19">
      <c r="A3" s="3" t="s">
        <v>2</v>
      </c>
      <c r="B3" s="4">
        <v>1.2749999999999999</v>
      </c>
      <c r="C3" s="4"/>
      <c r="D3" s="4">
        <v>1</v>
      </c>
      <c r="E3" s="4"/>
      <c r="F3" s="4"/>
      <c r="G3" s="4"/>
      <c r="H3" s="4">
        <v>5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6">
        <f t="shared" si="0"/>
        <v>0</v>
      </c>
      <c r="O3" s="4">
        <f t="shared" si="1"/>
        <v>1.2749999999999999</v>
      </c>
      <c r="P3" s="4">
        <f t="shared" si="2"/>
        <v>1.2749999999999999</v>
      </c>
      <c r="Q3" s="4">
        <f t="shared" si="3"/>
        <v>1.2749999999999999</v>
      </c>
      <c r="R3" s="4">
        <f t="shared" si="4"/>
        <v>1.2749999999999999</v>
      </c>
      <c r="S3" s="4">
        <f t="shared" si="5"/>
        <v>1.2749999999999999</v>
      </c>
    </row>
    <row r="4" spans="1:19">
      <c r="A4" s="3" t="s">
        <v>3</v>
      </c>
      <c r="B4" s="4">
        <f>4.14+2.55</f>
        <v>6.6899999999999995</v>
      </c>
      <c r="C4" s="4">
        <v>2</v>
      </c>
      <c r="D4" s="4">
        <v>2</v>
      </c>
      <c r="E4" s="4"/>
      <c r="F4" s="4"/>
      <c r="G4" s="4"/>
      <c r="H4" s="4">
        <v>5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6">
        <f t="shared" si="0"/>
        <v>0</v>
      </c>
      <c r="O4" s="4">
        <f t="shared" si="1"/>
        <v>6.6899999999999995</v>
      </c>
      <c r="P4" s="4">
        <f t="shared" si="2"/>
        <v>6.6899999999999995</v>
      </c>
      <c r="Q4" s="4">
        <f t="shared" si="3"/>
        <v>6.6899999999999995</v>
      </c>
      <c r="R4" s="4">
        <f t="shared" si="4"/>
        <v>6.6899999999999995</v>
      </c>
      <c r="S4" s="4">
        <f t="shared" si="5"/>
        <v>6.6899999999999995</v>
      </c>
    </row>
    <row r="5" spans="1:19">
      <c r="A5" s="3" t="s">
        <v>4</v>
      </c>
      <c r="B5" s="4">
        <v>4.1399999999999997</v>
      </c>
      <c r="C5" s="4">
        <v>2</v>
      </c>
      <c r="D5" s="4"/>
      <c r="E5" s="4"/>
      <c r="F5" s="4"/>
      <c r="G5" s="4"/>
      <c r="H5" s="4">
        <v>5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6">
        <f t="shared" si="0"/>
        <v>0</v>
      </c>
      <c r="O5" s="4">
        <f t="shared" si="1"/>
        <v>4.1399999999999997</v>
      </c>
      <c r="P5" s="4">
        <f t="shared" si="2"/>
        <v>4.1399999999999997</v>
      </c>
      <c r="Q5" s="4">
        <f t="shared" si="3"/>
        <v>4.1399999999999997</v>
      </c>
      <c r="R5" s="4">
        <f t="shared" si="4"/>
        <v>4.1399999999999997</v>
      </c>
      <c r="S5" s="4">
        <f t="shared" si="5"/>
        <v>4.1399999999999997</v>
      </c>
    </row>
    <row r="6" spans="1:19">
      <c r="A6" s="3" t="s">
        <v>5</v>
      </c>
      <c r="B6" s="4">
        <v>2.0699999999999998</v>
      </c>
      <c r="C6" s="4">
        <v>1</v>
      </c>
      <c r="D6" s="4"/>
      <c r="E6" s="4"/>
      <c r="F6" s="4"/>
      <c r="G6" s="4"/>
      <c r="H6" s="4">
        <v>5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6">
        <f t="shared" si="0"/>
        <v>0</v>
      </c>
      <c r="O6" s="4">
        <f t="shared" si="1"/>
        <v>2.0699999999999998</v>
      </c>
      <c r="P6" s="4">
        <f t="shared" si="2"/>
        <v>2.0699999999999998</v>
      </c>
      <c r="Q6" s="4">
        <f t="shared" si="3"/>
        <v>2.0699999999999998</v>
      </c>
      <c r="R6" s="4">
        <f t="shared" si="4"/>
        <v>2.0699999999999998</v>
      </c>
      <c r="S6" s="4">
        <f t="shared" si="5"/>
        <v>2.0699999999999998</v>
      </c>
    </row>
    <row r="7" spans="1:19">
      <c r="A7" s="3" t="s">
        <v>6</v>
      </c>
      <c r="B7" s="4">
        <f>2.07+1.275</f>
        <v>3.3449999999999998</v>
      </c>
      <c r="C7" s="4">
        <v>1</v>
      </c>
      <c r="D7" s="4">
        <v>1</v>
      </c>
      <c r="E7" s="4"/>
      <c r="F7" s="4"/>
      <c r="G7" s="4"/>
      <c r="H7" s="4">
        <v>5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6">
        <f t="shared" si="0"/>
        <v>0</v>
      </c>
      <c r="O7" s="4">
        <f t="shared" si="1"/>
        <v>3.3449999999999998</v>
      </c>
      <c r="P7" s="4">
        <f t="shared" si="2"/>
        <v>3.3449999999999998</v>
      </c>
      <c r="Q7" s="4">
        <f t="shared" si="3"/>
        <v>3.3449999999999998</v>
      </c>
      <c r="R7" s="4">
        <f t="shared" si="4"/>
        <v>3.3449999999999998</v>
      </c>
      <c r="S7" s="4">
        <f t="shared" si="5"/>
        <v>3.3449999999999998</v>
      </c>
    </row>
    <row r="8" spans="1:19">
      <c r="A8" s="3" t="s">
        <v>7</v>
      </c>
      <c r="B8" s="4">
        <v>4.1399999999999997</v>
      </c>
      <c r="C8" s="4">
        <v>2</v>
      </c>
      <c r="D8" s="4"/>
      <c r="E8" s="4"/>
      <c r="F8" s="4"/>
      <c r="G8" s="4"/>
      <c r="H8" s="4">
        <v>5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6">
        <f t="shared" si="0"/>
        <v>0</v>
      </c>
      <c r="O8" s="4">
        <f t="shared" si="1"/>
        <v>4.1399999999999997</v>
      </c>
      <c r="P8" s="4">
        <f t="shared" si="2"/>
        <v>4.1399999999999997</v>
      </c>
      <c r="Q8" s="4">
        <f t="shared" si="3"/>
        <v>4.1399999999999997</v>
      </c>
      <c r="R8" s="4">
        <f t="shared" si="4"/>
        <v>4.1399999999999997</v>
      </c>
      <c r="S8" s="4">
        <f t="shared" si="5"/>
        <v>4.1399999999999997</v>
      </c>
    </row>
    <row r="9" spans="1:19">
      <c r="A9" s="3" t="s">
        <v>8</v>
      </c>
      <c r="B9" s="4">
        <v>2.5499999999999998</v>
      </c>
      <c r="C9" s="4"/>
      <c r="D9" s="4">
        <v>2</v>
      </c>
      <c r="E9" s="4"/>
      <c r="F9" s="4"/>
      <c r="G9" s="4"/>
      <c r="H9" s="4">
        <v>4</v>
      </c>
      <c r="I9" s="5">
        <v>1</v>
      </c>
      <c r="J9" s="5">
        <v>1</v>
      </c>
      <c r="K9" s="5">
        <v>1</v>
      </c>
      <c r="L9" s="5">
        <v>1</v>
      </c>
      <c r="M9" s="5"/>
      <c r="N9" s="6">
        <f t="shared" si="0"/>
        <v>0</v>
      </c>
      <c r="O9" s="4">
        <f t="shared" si="1"/>
        <v>2.5499999999999998</v>
      </c>
      <c r="P9" s="4">
        <f t="shared" si="2"/>
        <v>2.5499999999999998</v>
      </c>
      <c r="Q9" s="4">
        <f t="shared" si="3"/>
        <v>2.5499999999999998</v>
      </c>
      <c r="R9" s="4">
        <f t="shared" si="4"/>
        <v>2.5499999999999998</v>
      </c>
      <c r="S9" s="4">
        <f t="shared" si="5"/>
        <v>0</v>
      </c>
    </row>
    <row r="10" spans="1:19">
      <c r="A10" s="3" t="s">
        <v>9</v>
      </c>
      <c r="B10" s="4">
        <v>2.5499999999999998</v>
      </c>
      <c r="C10" s="4"/>
      <c r="D10" s="4">
        <v>2</v>
      </c>
      <c r="E10" s="4"/>
      <c r="F10" s="4"/>
      <c r="G10" s="4"/>
      <c r="H10" s="4">
        <v>4</v>
      </c>
      <c r="I10" s="5">
        <v>1</v>
      </c>
      <c r="J10" s="5">
        <v>1</v>
      </c>
      <c r="K10" s="5">
        <v>1</v>
      </c>
      <c r="L10" s="5">
        <v>1</v>
      </c>
      <c r="M10" s="5"/>
      <c r="N10" s="6">
        <f t="shared" si="0"/>
        <v>0</v>
      </c>
      <c r="O10" s="4">
        <f t="shared" si="1"/>
        <v>2.5499999999999998</v>
      </c>
      <c r="P10" s="4">
        <f t="shared" si="2"/>
        <v>2.5499999999999998</v>
      </c>
      <c r="Q10" s="4">
        <f t="shared" si="3"/>
        <v>2.5499999999999998</v>
      </c>
      <c r="R10" s="4">
        <f t="shared" si="4"/>
        <v>2.5499999999999998</v>
      </c>
      <c r="S10" s="4">
        <f t="shared" si="5"/>
        <v>0</v>
      </c>
    </row>
    <row r="11" spans="1:19">
      <c r="A11" s="3" t="s">
        <v>10</v>
      </c>
      <c r="B11" s="4">
        <f>1*1.275</f>
        <v>1.2749999999999999</v>
      </c>
      <c r="C11" s="4">
        <v>2</v>
      </c>
      <c r="D11" s="4">
        <v>5</v>
      </c>
      <c r="E11" s="4"/>
      <c r="F11" s="4"/>
      <c r="G11" s="4"/>
      <c r="H11" s="4">
        <v>3</v>
      </c>
      <c r="I11" s="5">
        <v>1</v>
      </c>
      <c r="J11" s="5">
        <v>1</v>
      </c>
      <c r="K11" s="5">
        <v>1</v>
      </c>
      <c r="L11" s="5"/>
      <c r="M11" s="5"/>
      <c r="N11" s="6">
        <f t="shared" si="0"/>
        <v>0</v>
      </c>
      <c r="O11" s="4">
        <f t="shared" si="1"/>
        <v>1.2749999999999999</v>
      </c>
      <c r="P11" s="4">
        <f t="shared" si="2"/>
        <v>1.2749999999999999</v>
      </c>
      <c r="Q11" s="4">
        <f t="shared" si="3"/>
        <v>1.2749999999999999</v>
      </c>
      <c r="R11" s="4">
        <f t="shared" si="4"/>
        <v>0</v>
      </c>
      <c r="S11" s="4">
        <f t="shared" si="5"/>
        <v>0</v>
      </c>
    </row>
    <row r="12" spans="1:19">
      <c r="A12" s="3" t="s">
        <v>11</v>
      </c>
      <c r="B12" s="4">
        <v>2.5499999999999998</v>
      </c>
      <c r="C12" s="4"/>
      <c r="D12" s="4">
        <v>2</v>
      </c>
      <c r="E12" s="4"/>
      <c r="F12" s="4"/>
      <c r="G12" s="4"/>
      <c r="H12" s="4">
        <v>4</v>
      </c>
      <c r="I12" s="5">
        <v>1</v>
      </c>
      <c r="J12" s="5">
        <v>1</v>
      </c>
      <c r="K12" s="5">
        <v>1</v>
      </c>
      <c r="L12" s="5">
        <v>1</v>
      </c>
      <c r="M12" s="5"/>
      <c r="N12" s="6">
        <f t="shared" si="0"/>
        <v>0</v>
      </c>
      <c r="O12" s="4">
        <f t="shared" si="1"/>
        <v>2.5499999999999998</v>
      </c>
      <c r="P12" s="4">
        <f t="shared" si="2"/>
        <v>2.5499999999999998</v>
      </c>
      <c r="Q12" s="4">
        <f t="shared" si="3"/>
        <v>2.5499999999999998</v>
      </c>
      <c r="R12" s="4">
        <f t="shared" si="4"/>
        <v>2.5499999999999998</v>
      </c>
      <c r="S12" s="4">
        <f t="shared" si="5"/>
        <v>0</v>
      </c>
    </row>
    <row r="13" spans="1:19">
      <c r="A13" s="3" t="s">
        <v>12</v>
      </c>
      <c r="B13" s="4">
        <v>2.0699999999999998</v>
      </c>
      <c r="C13" s="4">
        <v>1</v>
      </c>
      <c r="D13" s="4"/>
      <c r="E13" s="4"/>
      <c r="F13" s="4"/>
      <c r="G13" s="4"/>
      <c r="H13" s="4">
        <v>3</v>
      </c>
      <c r="I13" s="5">
        <v>1</v>
      </c>
      <c r="J13" s="5"/>
      <c r="K13" s="5">
        <v>1</v>
      </c>
      <c r="L13" s="5"/>
      <c r="M13" s="5">
        <v>1</v>
      </c>
      <c r="N13" s="6">
        <f t="shared" si="0"/>
        <v>0</v>
      </c>
      <c r="O13" s="4">
        <f t="shared" si="1"/>
        <v>2.0699999999999998</v>
      </c>
      <c r="P13" s="4">
        <f t="shared" si="2"/>
        <v>0</v>
      </c>
      <c r="Q13" s="4">
        <f t="shared" si="3"/>
        <v>2.0699999999999998</v>
      </c>
      <c r="R13" s="4">
        <f t="shared" si="4"/>
        <v>0</v>
      </c>
      <c r="S13" s="4">
        <f t="shared" si="5"/>
        <v>2.0699999999999998</v>
      </c>
    </row>
    <row r="14" spans="1:19">
      <c r="A14" s="3" t="s">
        <v>13</v>
      </c>
      <c r="B14" s="4">
        <v>1.2749999999999999</v>
      </c>
      <c r="C14" s="4"/>
      <c r="D14" s="4">
        <v>1</v>
      </c>
      <c r="E14" s="4"/>
      <c r="F14" s="4"/>
      <c r="G14" s="4"/>
      <c r="H14" s="4">
        <v>3</v>
      </c>
      <c r="I14" s="5">
        <v>1</v>
      </c>
      <c r="J14" s="5"/>
      <c r="K14" s="5">
        <v>1</v>
      </c>
      <c r="L14" s="5"/>
      <c r="M14" s="5">
        <v>1</v>
      </c>
      <c r="N14" s="6">
        <f t="shared" si="0"/>
        <v>0</v>
      </c>
      <c r="O14" s="4">
        <f t="shared" si="1"/>
        <v>1.2749999999999999</v>
      </c>
      <c r="P14" s="4">
        <f t="shared" si="2"/>
        <v>0</v>
      </c>
      <c r="Q14" s="4">
        <f t="shared" si="3"/>
        <v>1.2749999999999999</v>
      </c>
      <c r="R14" s="4">
        <f t="shared" si="4"/>
        <v>0</v>
      </c>
      <c r="S14" s="4">
        <f t="shared" si="5"/>
        <v>1.2749999999999999</v>
      </c>
    </row>
    <row r="15" spans="1:19">
      <c r="A15" s="3" t="s">
        <v>14</v>
      </c>
      <c r="B15" s="4">
        <f>2.55+2.07</f>
        <v>4.6199999999999992</v>
      </c>
      <c r="C15" s="4">
        <v>1</v>
      </c>
      <c r="D15" s="4"/>
      <c r="E15" s="4"/>
      <c r="F15" s="4"/>
      <c r="G15" s="4"/>
      <c r="H15" s="4">
        <v>3</v>
      </c>
      <c r="I15" s="5">
        <v>1</v>
      </c>
      <c r="J15" s="5"/>
      <c r="K15" s="5">
        <v>1</v>
      </c>
      <c r="L15" s="5"/>
      <c r="M15" s="5">
        <v>1</v>
      </c>
      <c r="N15" s="6">
        <f t="shared" si="0"/>
        <v>0</v>
      </c>
      <c r="O15" s="4">
        <f t="shared" si="1"/>
        <v>4.6199999999999992</v>
      </c>
      <c r="P15" s="4">
        <f t="shared" si="2"/>
        <v>0</v>
      </c>
      <c r="Q15" s="4">
        <f t="shared" si="3"/>
        <v>4.6199999999999992</v>
      </c>
      <c r="R15" s="4">
        <f t="shared" si="4"/>
        <v>0</v>
      </c>
      <c r="S15" s="4">
        <f t="shared" si="5"/>
        <v>4.6199999999999992</v>
      </c>
    </row>
    <row r="16" spans="1:19">
      <c r="A16" s="3" t="s">
        <v>15</v>
      </c>
      <c r="B16" s="4">
        <f>4+2.07</f>
        <v>6.07</v>
      </c>
      <c r="C16" s="4">
        <v>1</v>
      </c>
      <c r="D16" s="4"/>
      <c r="E16" s="4"/>
      <c r="F16" s="4">
        <v>1</v>
      </c>
      <c r="G16" s="4"/>
      <c r="H16" s="4">
        <v>3</v>
      </c>
      <c r="I16" s="5">
        <v>1</v>
      </c>
      <c r="J16" s="5"/>
      <c r="K16" s="5">
        <v>1</v>
      </c>
      <c r="L16" s="5"/>
      <c r="M16" s="5">
        <v>1</v>
      </c>
      <c r="N16" s="6">
        <f t="shared" si="0"/>
        <v>0</v>
      </c>
      <c r="O16" s="4">
        <f t="shared" si="1"/>
        <v>6.07</v>
      </c>
      <c r="P16" s="4">
        <f t="shared" si="2"/>
        <v>0</v>
      </c>
      <c r="Q16" s="4">
        <f t="shared" si="3"/>
        <v>6.07</v>
      </c>
      <c r="R16" s="4">
        <f t="shared" si="4"/>
        <v>0</v>
      </c>
      <c r="S16" s="4">
        <f t="shared" si="5"/>
        <v>6.07</v>
      </c>
    </row>
    <row r="17" spans="1:19">
      <c r="A17" s="3" t="s">
        <v>16</v>
      </c>
      <c r="B17" s="4">
        <v>1.2749999999999999</v>
      </c>
      <c r="C17" s="4"/>
      <c r="D17" s="4">
        <v>1</v>
      </c>
      <c r="E17" s="4"/>
      <c r="F17" s="4"/>
      <c r="G17" s="4"/>
      <c r="H17" s="4">
        <v>3</v>
      </c>
      <c r="I17" s="5">
        <v>1</v>
      </c>
      <c r="J17" s="5"/>
      <c r="K17" s="5">
        <v>1</v>
      </c>
      <c r="L17" s="5"/>
      <c r="M17" s="5">
        <v>1</v>
      </c>
      <c r="N17" s="6">
        <f t="shared" si="0"/>
        <v>0</v>
      </c>
      <c r="O17" s="4">
        <f t="shared" si="1"/>
        <v>1.2749999999999999</v>
      </c>
      <c r="P17" s="4">
        <f t="shared" si="2"/>
        <v>0</v>
      </c>
      <c r="Q17" s="4">
        <f t="shared" si="3"/>
        <v>1.2749999999999999</v>
      </c>
      <c r="R17" s="4">
        <f t="shared" si="4"/>
        <v>0</v>
      </c>
      <c r="S17" s="4">
        <f t="shared" si="5"/>
        <v>1.2749999999999999</v>
      </c>
    </row>
    <row r="18" spans="1:19">
      <c r="A18" s="3" t="s">
        <v>17</v>
      </c>
      <c r="B18" s="4">
        <v>2.0699999999999998</v>
      </c>
      <c r="C18" s="4">
        <v>1</v>
      </c>
      <c r="D18" s="4"/>
      <c r="E18" s="4"/>
      <c r="F18" s="4"/>
      <c r="G18" s="4"/>
      <c r="H18" s="4">
        <v>3</v>
      </c>
      <c r="I18" s="5">
        <v>1</v>
      </c>
      <c r="J18" s="5"/>
      <c r="K18" s="5">
        <v>1</v>
      </c>
      <c r="L18" s="5"/>
      <c r="M18" s="5">
        <v>1</v>
      </c>
      <c r="N18" s="6">
        <f t="shared" si="0"/>
        <v>0</v>
      </c>
      <c r="O18" s="4">
        <f t="shared" si="1"/>
        <v>2.0699999999999998</v>
      </c>
      <c r="P18" s="4">
        <f t="shared" si="2"/>
        <v>0</v>
      </c>
      <c r="Q18" s="4">
        <f t="shared" si="3"/>
        <v>2.0699999999999998</v>
      </c>
      <c r="R18" s="4">
        <f t="shared" si="4"/>
        <v>0</v>
      </c>
      <c r="S18" s="4">
        <f t="shared" si="5"/>
        <v>2.0699999999999998</v>
      </c>
    </row>
    <row r="19" spans="1:19">
      <c r="A19" s="3" t="s">
        <v>18</v>
      </c>
      <c r="B19" s="4">
        <v>2.0699999999999998</v>
      </c>
      <c r="C19" s="4">
        <v>1</v>
      </c>
      <c r="D19" s="4"/>
      <c r="E19" s="4"/>
      <c r="F19" s="4"/>
      <c r="G19" s="4"/>
      <c r="H19" s="4">
        <v>3</v>
      </c>
      <c r="I19" s="5">
        <v>1</v>
      </c>
      <c r="J19" s="5"/>
      <c r="K19" s="5">
        <v>1</v>
      </c>
      <c r="L19" s="5"/>
      <c r="M19" s="5">
        <v>1</v>
      </c>
      <c r="N19" s="6">
        <f t="shared" si="0"/>
        <v>0</v>
      </c>
      <c r="O19" s="4">
        <f t="shared" si="1"/>
        <v>2.0699999999999998</v>
      </c>
      <c r="P19" s="4">
        <f t="shared" si="2"/>
        <v>0</v>
      </c>
      <c r="Q19" s="4">
        <f t="shared" si="3"/>
        <v>2.0699999999999998</v>
      </c>
      <c r="R19" s="4">
        <f t="shared" si="4"/>
        <v>0</v>
      </c>
      <c r="S19" s="4">
        <f t="shared" si="5"/>
        <v>2.0699999999999998</v>
      </c>
    </row>
    <row r="20" spans="1:19">
      <c r="A20" s="3" t="s">
        <v>19</v>
      </c>
      <c r="B20" s="4">
        <v>2.0699999999999998</v>
      </c>
      <c r="C20" s="4">
        <v>1</v>
      </c>
      <c r="D20" s="4"/>
      <c r="E20" s="4"/>
      <c r="F20" s="4"/>
      <c r="G20" s="4"/>
      <c r="H20" s="4">
        <v>3</v>
      </c>
      <c r="I20" s="5">
        <v>1</v>
      </c>
      <c r="J20" s="5"/>
      <c r="K20" s="5">
        <v>1</v>
      </c>
      <c r="L20" s="5"/>
      <c r="M20" s="5">
        <v>1</v>
      </c>
      <c r="N20" s="6">
        <f t="shared" si="0"/>
        <v>0</v>
      </c>
      <c r="O20" s="4">
        <f t="shared" si="1"/>
        <v>2.0699999999999998</v>
      </c>
      <c r="P20" s="4">
        <f t="shared" si="2"/>
        <v>0</v>
      </c>
      <c r="Q20" s="4">
        <f t="shared" si="3"/>
        <v>2.0699999999999998</v>
      </c>
      <c r="R20" s="4">
        <f t="shared" si="4"/>
        <v>0</v>
      </c>
      <c r="S20" s="4">
        <f t="shared" si="5"/>
        <v>2.0699999999999998</v>
      </c>
    </row>
    <row r="21" spans="1:19">
      <c r="A21" s="3" t="s">
        <v>20</v>
      </c>
      <c r="B21" s="4">
        <v>2.0699999999999998</v>
      </c>
      <c r="C21" s="4">
        <v>1</v>
      </c>
      <c r="D21" s="4"/>
      <c r="E21" s="4"/>
      <c r="F21" s="4"/>
      <c r="G21" s="4"/>
      <c r="H21" s="4">
        <v>3</v>
      </c>
      <c r="I21" s="5">
        <v>1</v>
      </c>
      <c r="J21" s="5"/>
      <c r="K21" s="5">
        <v>1</v>
      </c>
      <c r="L21" s="5"/>
      <c r="M21" s="5">
        <v>1</v>
      </c>
      <c r="N21" s="6">
        <f t="shared" si="0"/>
        <v>0</v>
      </c>
      <c r="O21" s="4">
        <f t="shared" si="1"/>
        <v>2.0699999999999998</v>
      </c>
      <c r="P21" s="4">
        <f t="shared" si="2"/>
        <v>0</v>
      </c>
      <c r="Q21" s="4">
        <f t="shared" si="3"/>
        <v>2.0699999999999998</v>
      </c>
      <c r="R21" s="4">
        <f t="shared" si="4"/>
        <v>0</v>
      </c>
      <c r="S21" s="4">
        <f t="shared" si="5"/>
        <v>2.0699999999999998</v>
      </c>
    </row>
    <row r="22" spans="1:19">
      <c r="A22" s="3" t="s">
        <v>21</v>
      </c>
      <c r="B22" s="4">
        <v>2.0699999999999998</v>
      </c>
      <c r="C22" s="4">
        <v>1</v>
      </c>
      <c r="D22" s="4"/>
      <c r="E22" s="4"/>
      <c r="F22" s="4"/>
      <c r="G22" s="4"/>
      <c r="H22" s="4">
        <v>3</v>
      </c>
      <c r="I22" s="5">
        <v>1</v>
      </c>
      <c r="J22" s="5"/>
      <c r="K22" s="5">
        <v>1</v>
      </c>
      <c r="L22" s="5"/>
      <c r="M22" s="5">
        <v>1</v>
      </c>
      <c r="N22" s="6">
        <f t="shared" si="0"/>
        <v>0</v>
      </c>
      <c r="O22" s="4">
        <f t="shared" si="1"/>
        <v>2.0699999999999998</v>
      </c>
      <c r="P22" s="4">
        <f t="shared" si="2"/>
        <v>0</v>
      </c>
      <c r="Q22" s="4">
        <f t="shared" si="3"/>
        <v>2.0699999999999998</v>
      </c>
      <c r="R22" s="4">
        <f t="shared" si="4"/>
        <v>0</v>
      </c>
      <c r="S22" s="4">
        <f t="shared" si="5"/>
        <v>2.0699999999999998</v>
      </c>
    </row>
    <row r="23" spans="1:19">
      <c r="A23" s="3" t="s">
        <v>22</v>
      </c>
      <c r="B23" s="4">
        <v>2.0699999999999998</v>
      </c>
      <c r="C23" s="4">
        <v>1</v>
      </c>
      <c r="D23" s="4"/>
      <c r="E23" s="4"/>
      <c r="F23" s="4"/>
      <c r="G23" s="4"/>
      <c r="H23" s="4">
        <v>3</v>
      </c>
      <c r="I23" s="5">
        <v>1</v>
      </c>
      <c r="J23" s="5"/>
      <c r="K23" s="5">
        <v>1</v>
      </c>
      <c r="L23" s="5"/>
      <c r="M23" s="5">
        <v>1</v>
      </c>
      <c r="N23" s="6">
        <f t="shared" si="0"/>
        <v>0</v>
      </c>
      <c r="O23" s="4">
        <f t="shared" si="1"/>
        <v>2.0699999999999998</v>
      </c>
      <c r="P23" s="4">
        <f t="shared" si="2"/>
        <v>0</v>
      </c>
      <c r="Q23" s="4">
        <f t="shared" si="3"/>
        <v>2.0699999999999998</v>
      </c>
      <c r="R23" s="4">
        <f t="shared" si="4"/>
        <v>0</v>
      </c>
      <c r="S23" s="4">
        <f t="shared" si="5"/>
        <v>2.0699999999999998</v>
      </c>
    </row>
    <row r="24" spans="1:19">
      <c r="A24" s="3" t="s">
        <v>23</v>
      </c>
      <c r="B24" s="4">
        <v>1.2749999999999999</v>
      </c>
      <c r="C24" s="4"/>
      <c r="D24" s="4">
        <v>1</v>
      </c>
      <c r="E24" s="4"/>
      <c r="F24" s="4"/>
      <c r="G24" s="4"/>
      <c r="H24" s="4">
        <v>3</v>
      </c>
      <c r="I24" s="5">
        <v>1</v>
      </c>
      <c r="J24" s="5"/>
      <c r="K24" s="5">
        <v>1</v>
      </c>
      <c r="L24" s="5"/>
      <c r="M24" s="5">
        <v>1</v>
      </c>
      <c r="N24" s="6">
        <f t="shared" si="0"/>
        <v>0</v>
      </c>
      <c r="O24" s="4">
        <f t="shared" si="1"/>
        <v>1.2749999999999999</v>
      </c>
      <c r="P24" s="4">
        <f t="shared" si="2"/>
        <v>0</v>
      </c>
      <c r="Q24" s="4">
        <f t="shared" si="3"/>
        <v>1.2749999999999999</v>
      </c>
      <c r="R24" s="4">
        <f t="shared" si="4"/>
        <v>0</v>
      </c>
      <c r="S24" s="4">
        <f t="shared" si="5"/>
        <v>1.2749999999999999</v>
      </c>
    </row>
    <row r="25" spans="1:19">
      <c r="A25" s="3" t="s">
        <v>24</v>
      </c>
      <c r="B25" s="4">
        <v>2.0699999999999998</v>
      </c>
      <c r="C25" s="4">
        <v>1</v>
      </c>
      <c r="D25" s="4"/>
      <c r="E25" s="4"/>
      <c r="F25" s="4"/>
      <c r="G25" s="4"/>
      <c r="H25" s="4">
        <v>3</v>
      </c>
      <c r="I25" s="5">
        <v>1</v>
      </c>
      <c r="J25" s="5"/>
      <c r="K25" s="5">
        <v>1</v>
      </c>
      <c r="L25" s="5"/>
      <c r="M25" s="5">
        <v>1</v>
      </c>
      <c r="N25" s="6">
        <f t="shared" si="0"/>
        <v>0</v>
      </c>
      <c r="O25" s="4">
        <f t="shared" si="1"/>
        <v>2.0699999999999998</v>
      </c>
      <c r="P25" s="4">
        <f t="shared" si="2"/>
        <v>0</v>
      </c>
      <c r="Q25" s="4">
        <f t="shared" si="3"/>
        <v>2.0699999999999998</v>
      </c>
      <c r="R25" s="4">
        <f t="shared" si="4"/>
        <v>0</v>
      </c>
      <c r="S25" s="4">
        <f t="shared" si="5"/>
        <v>2.0699999999999998</v>
      </c>
    </row>
    <row r="26" spans="1:19">
      <c r="A26" s="3" t="s">
        <v>25</v>
      </c>
      <c r="B26" s="4">
        <v>1.2749999999999999</v>
      </c>
      <c r="C26" s="4"/>
      <c r="D26" s="4">
        <v>1</v>
      </c>
      <c r="E26" s="4"/>
      <c r="F26" s="4"/>
      <c r="G26" s="4"/>
      <c r="H26" s="4">
        <v>3</v>
      </c>
      <c r="I26" s="5">
        <v>1</v>
      </c>
      <c r="J26" s="5"/>
      <c r="K26" s="5">
        <v>1</v>
      </c>
      <c r="L26" s="5"/>
      <c r="M26" s="5">
        <v>1</v>
      </c>
      <c r="N26" s="6">
        <f t="shared" si="0"/>
        <v>0</v>
      </c>
      <c r="O26" s="4">
        <f t="shared" si="1"/>
        <v>1.2749999999999999</v>
      </c>
      <c r="P26" s="4">
        <f t="shared" si="2"/>
        <v>0</v>
      </c>
      <c r="Q26" s="4">
        <f t="shared" si="3"/>
        <v>1.2749999999999999</v>
      </c>
      <c r="R26" s="4">
        <f t="shared" si="4"/>
        <v>0</v>
      </c>
      <c r="S26" s="4">
        <f t="shared" si="5"/>
        <v>1.2749999999999999</v>
      </c>
    </row>
    <row r="27" spans="1:19">
      <c r="A27" s="3" t="s">
        <v>26</v>
      </c>
      <c r="B27" s="4">
        <v>2.0699999999999998</v>
      </c>
      <c r="C27" s="4">
        <v>1</v>
      </c>
      <c r="D27" s="4"/>
      <c r="E27" s="4"/>
      <c r="F27" s="4"/>
      <c r="G27" s="4"/>
      <c r="H27" s="4">
        <v>3</v>
      </c>
      <c r="I27" s="5">
        <v>1</v>
      </c>
      <c r="J27" s="5"/>
      <c r="K27" s="5">
        <v>1</v>
      </c>
      <c r="L27" s="5"/>
      <c r="M27" s="5">
        <v>1</v>
      </c>
      <c r="N27" s="6">
        <f t="shared" si="0"/>
        <v>0</v>
      </c>
      <c r="O27" s="4">
        <f t="shared" si="1"/>
        <v>2.0699999999999998</v>
      </c>
      <c r="P27" s="4">
        <f t="shared" si="2"/>
        <v>0</v>
      </c>
      <c r="Q27" s="4">
        <f t="shared" si="3"/>
        <v>2.0699999999999998</v>
      </c>
      <c r="R27" s="4">
        <f t="shared" si="4"/>
        <v>0</v>
      </c>
      <c r="S27" s="4">
        <f t="shared" si="5"/>
        <v>2.0699999999999998</v>
      </c>
    </row>
    <row r="28" spans="1:19">
      <c r="A28" s="3" t="s">
        <v>27</v>
      </c>
      <c r="B28" s="4">
        <f>2.07+1.275</f>
        <v>3.3449999999999998</v>
      </c>
      <c r="C28" s="4">
        <v>1</v>
      </c>
      <c r="D28" s="4"/>
      <c r="E28" s="4">
        <v>1</v>
      </c>
      <c r="F28" s="4"/>
      <c r="G28" s="4"/>
      <c r="H28" s="4">
        <v>3</v>
      </c>
      <c r="I28" s="5">
        <v>1</v>
      </c>
      <c r="J28" s="5"/>
      <c r="K28" s="5">
        <v>1</v>
      </c>
      <c r="L28" s="5"/>
      <c r="M28" s="5">
        <v>1</v>
      </c>
      <c r="N28" s="6">
        <f t="shared" si="0"/>
        <v>0</v>
      </c>
      <c r="O28" s="4">
        <f t="shared" si="1"/>
        <v>3.3449999999999998</v>
      </c>
      <c r="P28" s="4">
        <f t="shared" si="2"/>
        <v>0</v>
      </c>
      <c r="Q28" s="4">
        <f t="shared" si="3"/>
        <v>3.3449999999999998</v>
      </c>
      <c r="R28" s="4">
        <f t="shared" si="4"/>
        <v>0</v>
      </c>
      <c r="S28" s="4">
        <f t="shared" si="5"/>
        <v>3.3449999999999998</v>
      </c>
    </row>
    <row r="29" spans="1:19">
      <c r="A29" s="3" t="s">
        <v>28</v>
      </c>
      <c r="B29" s="4">
        <f>2.07+1.275</f>
        <v>3.3449999999999998</v>
      </c>
      <c r="C29" s="4">
        <v>1</v>
      </c>
      <c r="D29" s="4">
        <v>1</v>
      </c>
      <c r="E29" s="4"/>
      <c r="F29" s="4"/>
      <c r="G29" s="4"/>
      <c r="H29" s="4">
        <v>3</v>
      </c>
      <c r="I29" s="5">
        <v>1</v>
      </c>
      <c r="J29" s="5"/>
      <c r="K29" s="5">
        <v>1</v>
      </c>
      <c r="L29" s="5"/>
      <c r="M29" s="5">
        <v>1</v>
      </c>
      <c r="N29" s="6">
        <f t="shared" si="0"/>
        <v>0</v>
      </c>
      <c r="O29" s="4">
        <f t="shared" si="1"/>
        <v>3.3449999999999998</v>
      </c>
      <c r="P29" s="4">
        <f t="shared" si="2"/>
        <v>0</v>
      </c>
      <c r="Q29" s="4">
        <f t="shared" si="3"/>
        <v>3.3449999999999998</v>
      </c>
      <c r="R29" s="4">
        <f t="shared" si="4"/>
        <v>0</v>
      </c>
      <c r="S29" s="4">
        <f t="shared" si="5"/>
        <v>3.3449999999999998</v>
      </c>
    </row>
    <row r="30" spans="1:19">
      <c r="A30" s="3" t="s">
        <v>29</v>
      </c>
      <c r="B30" s="4">
        <f>3*1.275</f>
        <v>3.8249999999999997</v>
      </c>
      <c r="C30" s="4"/>
      <c r="D30" s="4"/>
      <c r="E30" s="4"/>
      <c r="F30" s="4"/>
      <c r="G30" s="4"/>
      <c r="H30" s="4">
        <v>4</v>
      </c>
      <c r="I30" s="5">
        <v>1</v>
      </c>
      <c r="J30" s="5">
        <v>1</v>
      </c>
      <c r="K30" s="5">
        <v>1</v>
      </c>
      <c r="L30" s="5">
        <v>1</v>
      </c>
      <c r="M30" s="5"/>
      <c r="N30" s="6">
        <f t="shared" si="0"/>
        <v>0</v>
      </c>
      <c r="O30" s="4">
        <f t="shared" si="1"/>
        <v>3.8249999999999997</v>
      </c>
      <c r="P30" s="4">
        <f t="shared" si="2"/>
        <v>3.8249999999999997</v>
      </c>
      <c r="Q30" s="4">
        <f t="shared" si="3"/>
        <v>3.8249999999999997</v>
      </c>
      <c r="R30" s="4">
        <f t="shared" si="4"/>
        <v>3.8249999999999997</v>
      </c>
      <c r="S30" s="4">
        <f t="shared" si="5"/>
        <v>0</v>
      </c>
    </row>
    <row r="31" spans="1:19">
      <c r="A31" s="3" t="s">
        <v>30</v>
      </c>
      <c r="B31" s="4">
        <f>2*2.07</f>
        <v>4.1399999999999997</v>
      </c>
      <c r="C31" s="4"/>
      <c r="D31" s="4"/>
      <c r="E31" s="4"/>
      <c r="F31" s="4"/>
      <c r="G31" s="4"/>
      <c r="H31" s="4">
        <v>3</v>
      </c>
      <c r="I31" s="5">
        <v>1</v>
      </c>
      <c r="J31" s="5">
        <v>1</v>
      </c>
      <c r="K31" s="5">
        <v>1</v>
      </c>
      <c r="L31" s="5"/>
      <c r="M31" s="5"/>
      <c r="N31" s="6">
        <f t="shared" si="0"/>
        <v>0</v>
      </c>
      <c r="O31" s="4">
        <f t="shared" si="1"/>
        <v>4.1399999999999997</v>
      </c>
      <c r="P31" s="4">
        <f t="shared" si="2"/>
        <v>4.1399999999999997</v>
      </c>
      <c r="Q31" s="4">
        <f t="shared" si="3"/>
        <v>4.1399999999999997</v>
      </c>
      <c r="R31" s="4">
        <f t="shared" si="4"/>
        <v>0</v>
      </c>
      <c r="S31" s="4">
        <f t="shared" si="5"/>
        <v>0</v>
      </c>
    </row>
    <row r="32" spans="1:19">
      <c r="A32" s="3" t="s">
        <v>31</v>
      </c>
      <c r="B32" s="4">
        <v>1.2749999999999999</v>
      </c>
      <c r="C32" s="4"/>
      <c r="D32" s="4">
        <v>1</v>
      </c>
      <c r="E32" s="4"/>
      <c r="F32" s="4"/>
      <c r="G32" s="4"/>
      <c r="H32" s="4">
        <v>3</v>
      </c>
      <c r="I32" s="5">
        <v>1</v>
      </c>
      <c r="J32" s="5"/>
      <c r="K32" s="5">
        <v>1</v>
      </c>
      <c r="L32" s="5"/>
      <c r="M32" s="5">
        <v>1</v>
      </c>
      <c r="N32" s="6">
        <f t="shared" si="0"/>
        <v>0</v>
      </c>
      <c r="O32" s="4">
        <f t="shared" si="1"/>
        <v>1.2749999999999999</v>
      </c>
      <c r="P32" s="4">
        <f t="shared" si="2"/>
        <v>0</v>
      </c>
      <c r="Q32" s="4">
        <f t="shared" si="3"/>
        <v>1.2749999999999999</v>
      </c>
      <c r="R32" s="4">
        <f t="shared" si="4"/>
        <v>0</v>
      </c>
      <c r="S32" s="4">
        <f t="shared" si="5"/>
        <v>1.2749999999999999</v>
      </c>
    </row>
    <row r="33" spans="1:19">
      <c r="A33" s="3" t="s">
        <v>32</v>
      </c>
      <c r="B33" s="4">
        <v>4.1399999999999997</v>
      </c>
      <c r="C33" s="4">
        <v>2</v>
      </c>
      <c r="D33" s="4"/>
      <c r="E33" s="4"/>
      <c r="F33" s="4"/>
      <c r="G33" s="4"/>
      <c r="H33" s="4">
        <v>3</v>
      </c>
      <c r="I33" s="5">
        <v>1</v>
      </c>
      <c r="J33" s="5"/>
      <c r="K33" s="5">
        <v>1</v>
      </c>
      <c r="L33" s="5"/>
      <c r="M33" s="5">
        <v>1</v>
      </c>
      <c r="N33" s="6">
        <f t="shared" si="0"/>
        <v>0</v>
      </c>
      <c r="O33" s="4">
        <f t="shared" si="1"/>
        <v>4.1399999999999997</v>
      </c>
      <c r="P33" s="4">
        <f t="shared" si="2"/>
        <v>0</v>
      </c>
      <c r="Q33" s="4">
        <f t="shared" si="3"/>
        <v>4.1399999999999997</v>
      </c>
      <c r="R33" s="4">
        <f t="shared" si="4"/>
        <v>0</v>
      </c>
      <c r="S33" s="4">
        <f t="shared" si="5"/>
        <v>4.1399999999999997</v>
      </c>
    </row>
    <row r="34" spans="1:19">
      <c r="A34" s="3" t="s">
        <v>33</v>
      </c>
      <c r="B34" s="4">
        <v>1.2749999999999999</v>
      </c>
      <c r="C34" s="4"/>
      <c r="D34" s="4">
        <v>1</v>
      </c>
      <c r="E34" s="4"/>
      <c r="F34" s="4"/>
      <c r="G34" s="4"/>
      <c r="H34" s="4">
        <v>3</v>
      </c>
      <c r="I34" s="5">
        <v>1</v>
      </c>
      <c r="J34" s="5"/>
      <c r="K34" s="5">
        <v>1</v>
      </c>
      <c r="L34" s="5"/>
      <c r="M34" s="5">
        <v>1</v>
      </c>
      <c r="N34" s="6">
        <f t="shared" si="0"/>
        <v>0</v>
      </c>
      <c r="O34" s="4">
        <f t="shared" si="1"/>
        <v>1.2749999999999999</v>
      </c>
      <c r="P34" s="4">
        <f t="shared" si="2"/>
        <v>0</v>
      </c>
      <c r="Q34" s="4">
        <f t="shared" si="3"/>
        <v>1.2749999999999999</v>
      </c>
      <c r="R34" s="4">
        <f t="shared" si="4"/>
        <v>0</v>
      </c>
      <c r="S34" s="4">
        <f t="shared" si="5"/>
        <v>1.2749999999999999</v>
      </c>
    </row>
    <row r="35" spans="1:19">
      <c r="A35" s="3" t="s">
        <v>34</v>
      </c>
      <c r="B35" s="4">
        <v>1.2749999999999999</v>
      </c>
      <c r="C35" s="4"/>
      <c r="D35" s="4">
        <v>1</v>
      </c>
      <c r="E35" s="4"/>
      <c r="F35" s="4"/>
      <c r="G35" s="4"/>
      <c r="H35" s="4">
        <v>3</v>
      </c>
      <c r="I35" s="5">
        <v>1</v>
      </c>
      <c r="J35" s="5"/>
      <c r="K35" s="5">
        <v>1</v>
      </c>
      <c r="L35" s="5"/>
      <c r="M35" s="5">
        <v>1</v>
      </c>
      <c r="N35" s="6">
        <f t="shared" si="0"/>
        <v>0</v>
      </c>
      <c r="O35" s="4">
        <f t="shared" si="1"/>
        <v>1.2749999999999999</v>
      </c>
      <c r="P35" s="4">
        <f t="shared" si="2"/>
        <v>0</v>
      </c>
      <c r="Q35" s="4">
        <f t="shared" si="3"/>
        <v>1.2749999999999999</v>
      </c>
      <c r="R35" s="4">
        <f t="shared" si="4"/>
        <v>0</v>
      </c>
      <c r="S35" s="4">
        <f t="shared" si="5"/>
        <v>1.2749999999999999</v>
      </c>
    </row>
    <row r="36" spans="1:19">
      <c r="A36" s="3" t="s">
        <v>35</v>
      </c>
      <c r="B36" s="4">
        <v>2.0699999999999998</v>
      </c>
      <c r="C36" s="4">
        <v>1</v>
      </c>
      <c r="D36" s="4"/>
      <c r="E36" s="4"/>
      <c r="F36" s="4"/>
      <c r="G36" s="4"/>
      <c r="H36" s="4">
        <v>2</v>
      </c>
      <c r="I36" s="5"/>
      <c r="J36" s="5">
        <v>1</v>
      </c>
      <c r="K36" s="5"/>
      <c r="L36" s="5"/>
      <c r="M36" s="5">
        <v>1</v>
      </c>
      <c r="N36" s="6">
        <f t="shared" si="0"/>
        <v>0</v>
      </c>
      <c r="O36" s="4">
        <f t="shared" si="1"/>
        <v>0</v>
      </c>
      <c r="P36" s="4">
        <f t="shared" si="2"/>
        <v>2.0699999999999998</v>
      </c>
      <c r="Q36" s="4">
        <f t="shared" si="3"/>
        <v>0</v>
      </c>
      <c r="R36" s="4">
        <f t="shared" si="4"/>
        <v>0</v>
      </c>
      <c r="S36" s="4">
        <f t="shared" si="5"/>
        <v>2.0699999999999998</v>
      </c>
    </row>
    <row r="37" spans="1:19">
      <c r="A37" s="3" t="s">
        <v>36</v>
      </c>
      <c r="B37" s="4">
        <v>2.0699999999999998</v>
      </c>
      <c r="C37" s="4">
        <v>1</v>
      </c>
      <c r="D37" s="4"/>
      <c r="E37" s="4"/>
      <c r="F37" s="4"/>
      <c r="G37" s="4"/>
      <c r="H37" s="4">
        <v>2</v>
      </c>
      <c r="I37" s="5">
        <v>1</v>
      </c>
      <c r="J37" s="5"/>
      <c r="K37" s="5"/>
      <c r="L37" s="5">
        <v>1</v>
      </c>
      <c r="M37" s="5"/>
      <c r="N37" s="6">
        <f t="shared" si="0"/>
        <v>0</v>
      </c>
      <c r="O37" s="4">
        <f t="shared" si="1"/>
        <v>2.0699999999999998</v>
      </c>
      <c r="P37" s="4">
        <f t="shared" si="2"/>
        <v>0</v>
      </c>
      <c r="Q37" s="4">
        <f t="shared" si="3"/>
        <v>0</v>
      </c>
      <c r="R37" s="4">
        <f t="shared" si="4"/>
        <v>2.0699999999999998</v>
      </c>
      <c r="S37" s="4">
        <f t="shared" si="5"/>
        <v>0</v>
      </c>
    </row>
    <row r="38" spans="1:19">
      <c r="A38" s="3" t="s">
        <v>37</v>
      </c>
      <c r="B38" s="4">
        <v>1.2749999999999999</v>
      </c>
      <c r="C38" s="4"/>
      <c r="D38" s="4">
        <v>1</v>
      </c>
      <c r="E38" s="4"/>
      <c r="F38" s="4"/>
      <c r="G38" s="4"/>
      <c r="H38" s="4">
        <v>2</v>
      </c>
      <c r="I38" s="5"/>
      <c r="J38" s="5">
        <v>1</v>
      </c>
      <c r="K38" s="5"/>
      <c r="L38" s="5"/>
      <c r="M38" s="5">
        <v>1</v>
      </c>
      <c r="N38" s="6">
        <f t="shared" si="0"/>
        <v>0</v>
      </c>
      <c r="O38" s="4">
        <f t="shared" si="1"/>
        <v>0</v>
      </c>
      <c r="P38" s="4">
        <f t="shared" si="2"/>
        <v>1.2749999999999999</v>
      </c>
      <c r="Q38" s="4">
        <f t="shared" si="3"/>
        <v>0</v>
      </c>
      <c r="R38" s="4">
        <f t="shared" si="4"/>
        <v>0</v>
      </c>
      <c r="S38" s="4">
        <f t="shared" si="5"/>
        <v>1.2749999999999999</v>
      </c>
    </row>
    <row r="39" spans="1:19">
      <c r="A39" s="3" t="s">
        <v>38</v>
      </c>
      <c r="B39" s="4">
        <v>4.1399999999999997</v>
      </c>
      <c r="C39" s="4">
        <v>2</v>
      </c>
      <c r="D39" s="4"/>
      <c r="E39" s="4"/>
      <c r="F39" s="4"/>
      <c r="G39" s="4"/>
      <c r="H39" s="4">
        <v>2</v>
      </c>
      <c r="I39" s="5">
        <v>1</v>
      </c>
      <c r="J39" s="5"/>
      <c r="K39" s="5"/>
      <c r="L39" s="5">
        <v>1</v>
      </c>
      <c r="M39" s="5"/>
      <c r="N39" s="6">
        <f t="shared" si="0"/>
        <v>0</v>
      </c>
      <c r="O39" s="4">
        <f t="shared" si="1"/>
        <v>4.1399999999999997</v>
      </c>
      <c r="P39" s="4">
        <f t="shared" si="2"/>
        <v>0</v>
      </c>
      <c r="Q39" s="4">
        <f t="shared" si="3"/>
        <v>0</v>
      </c>
      <c r="R39" s="4">
        <f t="shared" si="4"/>
        <v>4.1399999999999997</v>
      </c>
      <c r="S39" s="4">
        <f t="shared" si="5"/>
        <v>0</v>
      </c>
    </row>
    <row r="40" spans="1:19">
      <c r="A40" s="3" t="s">
        <v>39</v>
      </c>
      <c r="B40" s="4">
        <v>4.1399999999999997</v>
      </c>
      <c r="C40" s="4">
        <v>2</v>
      </c>
      <c r="D40" s="4"/>
      <c r="E40" s="4"/>
      <c r="F40" s="4"/>
      <c r="G40" s="4"/>
      <c r="H40" s="4">
        <v>2</v>
      </c>
      <c r="I40" s="5"/>
      <c r="J40" s="5">
        <v>1</v>
      </c>
      <c r="K40" s="5"/>
      <c r="L40" s="5"/>
      <c r="M40" s="5">
        <v>1</v>
      </c>
      <c r="N40" s="6">
        <f t="shared" si="0"/>
        <v>0</v>
      </c>
      <c r="O40" s="4">
        <f t="shared" si="1"/>
        <v>0</v>
      </c>
      <c r="P40" s="4">
        <f t="shared" si="2"/>
        <v>4.1399999999999997</v>
      </c>
      <c r="Q40" s="4">
        <f t="shared" si="3"/>
        <v>0</v>
      </c>
      <c r="R40" s="4">
        <f t="shared" si="4"/>
        <v>0</v>
      </c>
      <c r="S40" s="4">
        <f t="shared" si="5"/>
        <v>4.1399999999999997</v>
      </c>
    </row>
    <row r="41" spans="1:19">
      <c r="A41" s="3" t="s">
        <v>40</v>
      </c>
      <c r="B41" s="4">
        <v>2.0699999999999998</v>
      </c>
      <c r="C41" s="4">
        <v>1</v>
      </c>
      <c r="D41" s="4"/>
      <c r="E41" s="4"/>
      <c r="F41" s="4"/>
      <c r="G41" s="4"/>
      <c r="H41" s="4">
        <v>2</v>
      </c>
      <c r="I41" s="5"/>
      <c r="J41" s="5">
        <v>1</v>
      </c>
      <c r="K41" s="5"/>
      <c r="L41" s="5"/>
      <c r="M41" s="5">
        <v>1</v>
      </c>
      <c r="N41" s="6">
        <f t="shared" si="0"/>
        <v>0</v>
      </c>
      <c r="O41" s="4">
        <f t="shared" si="1"/>
        <v>0</v>
      </c>
      <c r="P41" s="4">
        <f t="shared" si="2"/>
        <v>2.0699999999999998</v>
      </c>
      <c r="Q41" s="4">
        <f t="shared" si="3"/>
        <v>0</v>
      </c>
      <c r="R41" s="4">
        <f t="shared" si="4"/>
        <v>0</v>
      </c>
      <c r="S41" s="4">
        <f t="shared" si="5"/>
        <v>2.0699999999999998</v>
      </c>
    </row>
    <row r="42" spans="1:19">
      <c r="A42" s="3" t="s">
        <v>41</v>
      </c>
      <c r="B42" s="4">
        <v>1.2749999999999999</v>
      </c>
      <c r="C42" s="4"/>
      <c r="D42" s="4">
        <v>1</v>
      </c>
      <c r="E42" s="4"/>
      <c r="F42" s="4"/>
      <c r="G42" s="4"/>
      <c r="H42" s="4">
        <v>2</v>
      </c>
      <c r="I42" s="5">
        <v>1</v>
      </c>
      <c r="J42" s="5"/>
      <c r="K42" s="5"/>
      <c r="L42" s="5">
        <v>1</v>
      </c>
      <c r="M42" s="5"/>
      <c r="N42" s="6">
        <f t="shared" si="0"/>
        <v>0</v>
      </c>
      <c r="O42" s="4">
        <f t="shared" si="1"/>
        <v>1.2749999999999999</v>
      </c>
      <c r="P42" s="4">
        <f t="shared" si="2"/>
        <v>0</v>
      </c>
      <c r="Q42" s="4">
        <f t="shared" si="3"/>
        <v>0</v>
      </c>
      <c r="R42" s="4">
        <f t="shared" si="4"/>
        <v>1.2749999999999999</v>
      </c>
      <c r="S42" s="4">
        <f t="shared" si="5"/>
        <v>0</v>
      </c>
    </row>
    <row r="43" spans="1:19">
      <c r="A43" s="3" t="s">
        <v>42</v>
      </c>
      <c r="B43" s="4">
        <v>1.2749999999999999</v>
      </c>
      <c r="C43" s="4"/>
      <c r="D43" s="4">
        <v>1</v>
      </c>
      <c r="E43" s="4"/>
      <c r="F43" s="4"/>
      <c r="G43" s="4"/>
      <c r="H43" s="4">
        <v>2</v>
      </c>
      <c r="I43" s="5"/>
      <c r="J43" s="5">
        <v>1</v>
      </c>
      <c r="K43" s="5"/>
      <c r="L43" s="5"/>
      <c r="M43" s="5">
        <v>1</v>
      </c>
      <c r="N43" s="6">
        <f t="shared" si="0"/>
        <v>0</v>
      </c>
      <c r="O43" s="4">
        <f t="shared" si="1"/>
        <v>0</v>
      </c>
      <c r="P43" s="4">
        <f t="shared" si="2"/>
        <v>1.2749999999999999</v>
      </c>
      <c r="Q43" s="4">
        <f t="shared" si="3"/>
        <v>0</v>
      </c>
      <c r="R43" s="4">
        <f t="shared" si="4"/>
        <v>0</v>
      </c>
      <c r="S43" s="4">
        <f t="shared" si="5"/>
        <v>1.2749999999999999</v>
      </c>
    </row>
    <row r="44" spans="1:19">
      <c r="A44" s="3" t="s">
        <v>43</v>
      </c>
      <c r="B44" s="4">
        <v>1.2749999999999999</v>
      </c>
      <c r="C44" s="4"/>
      <c r="D44" s="4">
        <v>1</v>
      </c>
      <c r="E44" s="4"/>
      <c r="F44" s="4"/>
      <c r="G44" s="4"/>
      <c r="H44" s="4">
        <v>2</v>
      </c>
      <c r="I44" s="5">
        <v>1</v>
      </c>
      <c r="J44" s="5"/>
      <c r="K44" s="5"/>
      <c r="L44" s="5">
        <v>1</v>
      </c>
      <c r="M44" s="5"/>
      <c r="N44" s="6">
        <f t="shared" si="0"/>
        <v>0</v>
      </c>
      <c r="O44" s="4">
        <f t="shared" si="1"/>
        <v>1.2749999999999999</v>
      </c>
      <c r="P44" s="4">
        <f t="shared" si="2"/>
        <v>0</v>
      </c>
      <c r="Q44" s="4">
        <f t="shared" si="3"/>
        <v>0</v>
      </c>
      <c r="R44" s="4">
        <f t="shared" si="4"/>
        <v>1.2749999999999999</v>
      </c>
      <c r="S44" s="4">
        <f t="shared" si="5"/>
        <v>0</v>
      </c>
    </row>
    <row r="45" spans="1:19">
      <c r="A45" s="3" t="s">
        <v>44</v>
      </c>
      <c r="B45" s="4">
        <v>2.5499999999999998</v>
      </c>
      <c r="C45" s="4"/>
      <c r="D45" s="4">
        <v>2</v>
      </c>
      <c r="E45" s="4"/>
      <c r="F45" s="4"/>
      <c r="G45" s="4"/>
      <c r="H45" s="4">
        <v>2</v>
      </c>
      <c r="I45" s="5">
        <v>1</v>
      </c>
      <c r="J45" s="5"/>
      <c r="K45" s="5"/>
      <c r="L45" s="5">
        <v>1</v>
      </c>
      <c r="M45" s="5"/>
      <c r="N45" s="6">
        <f t="shared" si="0"/>
        <v>0</v>
      </c>
      <c r="O45" s="4">
        <f t="shared" si="1"/>
        <v>2.5499999999999998</v>
      </c>
      <c r="P45" s="4">
        <f t="shared" si="2"/>
        <v>0</v>
      </c>
      <c r="Q45" s="4">
        <f t="shared" si="3"/>
        <v>0</v>
      </c>
      <c r="R45" s="4">
        <f t="shared" si="4"/>
        <v>2.5499999999999998</v>
      </c>
      <c r="S45" s="4">
        <f t="shared" si="5"/>
        <v>0</v>
      </c>
    </row>
    <row r="46" spans="1:19">
      <c r="A46" s="3" t="s">
        <v>45</v>
      </c>
      <c r="B46" s="4">
        <v>3.7</v>
      </c>
      <c r="C46" s="4"/>
      <c r="D46" s="4"/>
      <c r="E46" s="4">
        <v>1</v>
      </c>
      <c r="F46" s="4"/>
      <c r="G46" s="4"/>
      <c r="H46" s="4">
        <v>2</v>
      </c>
      <c r="I46" s="5"/>
      <c r="J46" s="5">
        <v>1</v>
      </c>
      <c r="K46" s="5"/>
      <c r="L46" s="5"/>
      <c r="M46" s="5">
        <v>1</v>
      </c>
      <c r="N46" s="6">
        <f t="shared" si="0"/>
        <v>0</v>
      </c>
      <c r="O46" s="4">
        <f t="shared" si="1"/>
        <v>0</v>
      </c>
      <c r="P46" s="4">
        <f t="shared" si="2"/>
        <v>3.7</v>
      </c>
      <c r="Q46" s="4">
        <f t="shared" si="3"/>
        <v>0</v>
      </c>
      <c r="R46" s="4">
        <f t="shared" si="4"/>
        <v>0</v>
      </c>
      <c r="S46" s="4">
        <f t="shared" si="5"/>
        <v>3.7</v>
      </c>
    </row>
    <row r="47" spans="1:19">
      <c r="A47" s="3" t="s">
        <v>46</v>
      </c>
      <c r="B47" s="4">
        <v>4.1399999999999997</v>
      </c>
      <c r="C47" s="4">
        <v>2</v>
      </c>
      <c r="D47" s="4">
        <v>2</v>
      </c>
      <c r="E47" s="4"/>
      <c r="F47" s="4"/>
      <c r="G47" s="4"/>
      <c r="H47" s="4">
        <v>2</v>
      </c>
      <c r="I47" s="5">
        <v>1</v>
      </c>
      <c r="J47" s="5"/>
      <c r="K47" s="5"/>
      <c r="L47" s="5">
        <v>1</v>
      </c>
      <c r="M47" s="5"/>
      <c r="N47" s="6">
        <f t="shared" si="0"/>
        <v>0</v>
      </c>
      <c r="O47" s="4">
        <f t="shared" si="1"/>
        <v>4.1399999999999997</v>
      </c>
      <c r="P47" s="4">
        <f t="shared" si="2"/>
        <v>0</v>
      </c>
      <c r="Q47" s="4">
        <f t="shared" si="3"/>
        <v>0</v>
      </c>
      <c r="R47" s="4">
        <f t="shared" si="4"/>
        <v>4.1399999999999997</v>
      </c>
      <c r="S47" s="4">
        <f t="shared" si="5"/>
        <v>0</v>
      </c>
    </row>
    <row r="48" spans="1:19">
      <c r="A48" s="3" t="s">
        <v>47</v>
      </c>
      <c r="B48" s="4">
        <v>1.2749999999999999</v>
      </c>
      <c r="C48" s="4"/>
      <c r="D48" s="4">
        <v>1</v>
      </c>
      <c r="E48" s="4"/>
      <c r="F48" s="4"/>
      <c r="G48" s="4"/>
      <c r="H48" s="4">
        <v>2</v>
      </c>
      <c r="I48" s="5">
        <v>1</v>
      </c>
      <c r="J48" s="5"/>
      <c r="K48" s="5"/>
      <c r="L48" s="5">
        <v>1</v>
      </c>
      <c r="M48" s="5"/>
      <c r="N48" s="6">
        <f t="shared" si="0"/>
        <v>0</v>
      </c>
      <c r="O48" s="4">
        <f t="shared" si="1"/>
        <v>1.2749999999999999</v>
      </c>
      <c r="P48" s="4">
        <f t="shared" si="2"/>
        <v>0</v>
      </c>
      <c r="Q48" s="4">
        <f t="shared" si="3"/>
        <v>0</v>
      </c>
      <c r="R48" s="4">
        <f t="shared" si="4"/>
        <v>1.2749999999999999</v>
      </c>
      <c r="S48" s="4">
        <f t="shared" si="5"/>
        <v>0</v>
      </c>
    </row>
    <row r="49" spans="1:19">
      <c r="A49" s="3" t="s">
        <v>48</v>
      </c>
      <c r="B49" s="4">
        <v>1.2749999999999999</v>
      </c>
      <c r="C49" s="4"/>
      <c r="D49" s="4">
        <v>1</v>
      </c>
      <c r="E49" s="4"/>
      <c r="F49" s="4"/>
      <c r="G49" s="4"/>
      <c r="H49" s="4">
        <v>2</v>
      </c>
      <c r="I49" s="5"/>
      <c r="J49" s="5">
        <v>1</v>
      </c>
      <c r="K49" s="5"/>
      <c r="L49" s="5"/>
      <c r="M49" s="5">
        <v>1</v>
      </c>
      <c r="N49" s="6">
        <f t="shared" si="0"/>
        <v>0</v>
      </c>
      <c r="O49" s="4">
        <f t="shared" si="1"/>
        <v>0</v>
      </c>
      <c r="P49" s="4">
        <f t="shared" si="2"/>
        <v>1.2749999999999999</v>
      </c>
      <c r="Q49" s="4">
        <f t="shared" si="3"/>
        <v>0</v>
      </c>
      <c r="R49" s="4">
        <f t="shared" si="4"/>
        <v>0</v>
      </c>
      <c r="S49" s="4">
        <f t="shared" si="5"/>
        <v>1.2749999999999999</v>
      </c>
    </row>
    <row r="50" spans="1:19">
      <c r="A50" s="3" t="s">
        <v>49</v>
      </c>
      <c r="B50" s="4">
        <v>1.2749999999999999</v>
      </c>
      <c r="C50" s="4"/>
      <c r="D50" s="4">
        <v>1</v>
      </c>
      <c r="E50" s="4"/>
      <c r="F50" s="4"/>
      <c r="G50" s="4"/>
      <c r="H50" s="4">
        <v>2</v>
      </c>
      <c r="I50" s="5"/>
      <c r="J50" s="5">
        <v>1</v>
      </c>
      <c r="K50" s="5"/>
      <c r="L50" s="5"/>
      <c r="M50" s="5">
        <v>1</v>
      </c>
      <c r="N50" s="6">
        <f t="shared" si="0"/>
        <v>0</v>
      </c>
      <c r="O50" s="4">
        <f t="shared" si="1"/>
        <v>0</v>
      </c>
      <c r="P50" s="4">
        <f t="shared" si="2"/>
        <v>1.2749999999999999</v>
      </c>
      <c r="Q50" s="4">
        <f t="shared" si="3"/>
        <v>0</v>
      </c>
      <c r="R50" s="4">
        <f t="shared" si="4"/>
        <v>0</v>
      </c>
      <c r="S50" s="4">
        <f t="shared" si="5"/>
        <v>1.2749999999999999</v>
      </c>
    </row>
    <row r="51" spans="1:19">
      <c r="A51" s="3" t="s">
        <v>50</v>
      </c>
      <c r="B51" s="4">
        <v>3.7</v>
      </c>
      <c r="C51" s="4"/>
      <c r="D51" s="4"/>
      <c r="E51" s="4"/>
      <c r="F51" s="4"/>
      <c r="G51" s="4">
        <v>1</v>
      </c>
      <c r="H51" s="4">
        <v>2</v>
      </c>
      <c r="I51" s="5">
        <v>1</v>
      </c>
      <c r="J51" s="5"/>
      <c r="K51" s="5"/>
      <c r="L51" s="5">
        <v>1</v>
      </c>
      <c r="M51" s="5"/>
      <c r="N51" s="6">
        <f t="shared" si="0"/>
        <v>0</v>
      </c>
      <c r="O51" s="4">
        <f t="shared" si="1"/>
        <v>3.7</v>
      </c>
      <c r="P51" s="4">
        <f t="shared" si="2"/>
        <v>0</v>
      </c>
      <c r="Q51" s="4">
        <f t="shared" si="3"/>
        <v>0</v>
      </c>
      <c r="R51" s="4">
        <f t="shared" si="4"/>
        <v>3.7</v>
      </c>
      <c r="S51" s="4">
        <f t="shared" si="5"/>
        <v>0</v>
      </c>
    </row>
    <row r="52" spans="1:19">
      <c r="A52" s="3" t="s">
        <v>51</v>
      </c>
      <c r="B52" s="4">
        <v>2.0699999999999998</v>
      </c>
      <c r="C52" s="4">
        <v>1</v>
      </c>
      <c r="D52" s="4"/>
      <c r="E52" s="4"/>
      <c r="F52" s="4"/>
      <c r="G52" s="4"/>
      <c r="H52" s="4">
        <v>2</v>
      </c>
      <c r="I52" s="5"/>
      <c r="J52" s="5">
        <v>1</v>
      </c>
      <c r="K52" s="5"/>
      <c r="L52" s="5"/>
      <c r="M52" s="5">
        <v>1</v>
      </c>
      <c r="N52" s="6">
        <f t="shared" si="0"/>
        <v>0</v>
      </c>
      <c r="O52" s="4">
        <f t="shared" si="1"/>
        <v>0</v>
      </c>
      <c r="P52" s="4">
        <f t="shared" si="2"/>
        <v>2.0699999999999998</v>
      </c>
      <c r="Q52" s="4">
        <f t="shared" si="3"/>
        <v>0</v>
      </c>
      <c r="R52" s="4">
        <f t="shared" si="4"/>
        <v>0</v>
      </c>
      <c r="S52" s="4">
        <f t="shared" si="5"/>
        <v>2.0699999999999998</v>
      </c>
    </row>
    <row r="53" spans="1:19">
      <c r="A53" s="3" t="s">
        <v>52</v>
      </c>
      <c r="B53" s="4">
        <v>2.0699999999999998</v>
      </c>
      <c r="C53" s="4">
        <v>1</v>
      </c>
      <c r="D53" s="4"/>
      <c r="E53" s="4"/>
      <c r="F53" s="4"/>
      <c r="G53" s="4"/>
      <c r="H53" s="4">
        <v>2</v>
      </c>
      <c r="I53" s="5">
        <v>1</v>
      </c>
      <c r="J53" s="5"/>
      <c r="K53" s="5"/>
      <c r="L53" s="5">
        <v>1</v>
      </c>
      <c r="M53" s="5"/>
      <c r="N53" s="6">
        <f t="shared" si="0"/>
        <v>0</v>
      </c>
      <c r="O53" s="4">
        <f t="shared" si="1"/>
        <v>2.0699999999999998</v>
      </c>
      <c r="P53" s="4">
        <f t="shared" si="2"/>
        <v>0</v>
      </c>
      <c r="Q53" s="4">
        <f t="shared" si="3"/>
        <v>0</v>
      </c>
      <c r="R53" s="4">
        <f t="shared" si="4"/>
        <v>2.0699999999999998</v>
      </c>
      <c r="S53" s="4">
        <f t="shared" si="5"/>
        <v>0</v>
      </c>
    </row>
    <row r="54" spans="1:19">
      <c r="A54" s="3" t="s">
        <v>53</v>
      </c>
      <c r="B54" s="4">
        <v>2.5499999999999998</v>
      </c>
      <c r="C54" s="4">
        <v>2</v>
      </c>
      <c r="D54" s="4"/>
      <c r="E54" s="4"/>
      <c r="F54" s="4"/>
      <c r="G54" s="4"/>
      <c r="H54" s="4">
        <v>2</v>
      </c>
      <c r="I54" s="5"/>
      <c r="J54" s="5">
        <v>1</v>
      </c>
      <c r="K54" s="5"/>
      <c r="L54" s="5"/>
      <c r="M54" s="5">
        <v>1</v>
      </c>
      <c r="N54" s="6">
        <f t="shared" si="0"/>
        <v>0</v>
      </c>
      <c r="O54" s="4">
        <f t="shared" si="1"/>
        <v>0</v>
      </c>
      <c r="P54" s="4">
        <f t="shared" si="2"/>
        <v>2.5499999999999998</v>
      </c>
      <c r="Q54" s="4">
        <f t="shared" si="3"/>
        <v>0</v>
      </c>
      <c r="R54" s="4">
        <f t="shared" si="4"/>
        <v>0</v>
      </c>
      <c r="S54" s="4">
        <f t="shared" si="5"/>
        <v>2.5499999999999998</v>
      </c>
    </row>
    <row r="55" spans="1:19">
      <c r="A55" s="3" t="s">
        <v>54</v>
      </c>
      <c r="B55" s="4">
        <v>2.0699999999999998</v>
      </c>
      <c r="C55" s="4">
        <v>1</v>
      </c>
      <c r="D55" s="4"/>
      <c r="E55" s="4"/>
      <c r="F55" s="4"/>
      <c r="G55" s="4"/>
      <c r="H55" s="4">
        <v>2</v>
      </c>
      <c r="I55" s="5">
        <v>1</v>
      </c>
      <c r="J55" s="5"/>
      <c r="K55" s="5"/>
      <c r="L55" s="5">
        <v>1</v>
      </c>
      <c r="M55" s="5"/>
      <c r="N55" s="6">
        <f t="shared" si="0"/>
        <v>0</v>
      </c>
      <c r="O55" s="4">
        <f t="shared" si="1"/>
        <v>2.0699999999999998</v>
      </c>
      <c r="P55" s="4">
        <f t="shared" si="2"/>
        <v>0</v>
      </c>
      <c r="Q55" s="4">
        <f t="shared" si="3"/>
        <v>0</v>
      </c>
      <c r="R55" s="4">
        <f t="shared" si="4"/>
        <v>2.0699999999999998</v>
      </c>
      <c r="S55" s="4">
        <f t="shared" si="5"/>
        <v>0</v>
      </c>
    </row>
    <row r="56" spans="1:19">
      <c r="A56" s="3" t="s">
        <v>55</v>
      </c>
      <c r="B56" s="4">
        <f>3*1.275</f>
        <v>3.8249999999999997</v>
      </c>
      <c r="C56" s="4"/>
      <c r="D56" s="4">
        <v>3</v>
      </c>
      <c r="E56" s="4"/>
      <c r="F56" s="4"/>
      <c r="G56" s="4"/>
      <c r="H56" s="4">
        <v>2</v>
      </c>
      <c r="I56" s="5">
        <v>1</v>
      </c>
      <c r="J56" s="5"/>
      <c r="K56" s="5"/>
      <c r="L56" s="5">
        <v>1</v>
      </c>
      <c r="M56" s="5"/>
      <c r="N56" s="6">
        <f t="shared" si="0"/>
        <v>0</v>
      </c>
      <c r="O56" s="4">
        <f t="shared" si="1"/>
        <v>3.8249999999999997</v>
      </c>
      <c r="P56" s="4">
        <f t="shared" si="2"/>
        <v>0</v>
      </c>
      <c r="Q56" s="4">
        <f t="shared" si="3"/>
        <v>0</v>
      </c>
      <c r="R56" s="4">
        <f t="shared" si="4"/>
        <v>3.8249999999999997</v>
      </c>
      <c r="S56" s="4">
        <f t="shared" si="5"/>
        <v>0</v>
      </c>
    </row>
    <row r="57" spans="1:19">
      <c r="A57" s="3" t="s">
        <v>56</v>
      </c>
      <c r="B57" s="4">
        <v>2.5499999999999998</v>
      </c>
      <c r="C57" s="4"/>
      <c r="D57" s="4">
        <v>2</v>
      </c>
      <c r="E57" s="4"/>
      <c r="F57" s="4"/>
      <c r="G57" s="4"/>
      <c r="H57" s="4">
        <v>2</v>
      </c>
      <c r="I57" s="5"/>
      <c r="J57" s="5">
        <v>1</v>
      </c>
      <c r="K57" s="5"/>
      <c r="L57" s="5"/>
      <c r="M57" s="5">
        <v>1</v>
      </c>
      <c r="N57" s="6">
        <f t="shared" si="0"/>
        <v>0</v>
      </c>
      <c r="O57" s="4">
        <f t="shared" si="1"/>
        <v>0</v>
      </c>
      <c r="P57" s="4">
        <f t="shared" si="2"/>
        <v>2.5499999999999998</v>
      </c>
      <c r="Q57" s="4">
        <f t="shared" si="3"/>
        <v>0</v>
      </c>
      <c r="R57" s="4">
        <f t="shared" si="4"/>
        <v>0</v>
      </c>
      <c r="S57" s="4">
        <f t="shared" si="5"/>
        <v>2.5499999999999998</v>
      </c>
    </row>
    <row r="58" spans="1:19">
      <c r="A58" s="3" t="s">
        <v>57</v>
      </c>
      <c r="B58" s="4">
        <v>1.2749999999999999</v>
      </c>
      <c r="C58" s="4"/>
      <c r="D58" s="4">
        <v>1</v>
      </c>
      <c r="E58" s="4"/>
      <c r="F58" s="4"/>
      <c r="G58" s="4"/>
      <c r="H58" s="4">
        <v>2</v>
      </c>
      <c r="I58" s="5">
        <v>1</v>
      </c>
      <c r="J58" s="5"/>
      <c r="K58" s="5"/>
      <c r="L58" s="5">
        <v>1</v>
      </c>
      <c r="M58" s="5"/>
      <c r="N58" s="6">
        <f t="shared" si="0"/>
        <v>0</v>
      </c>
      <c r="O58" s="4">
        <f t="shared" si="1"/>
        <v>1.2749999999999999</v>
      </c>
      <c r="P58" s="4">
        <f t="shared" si="2"/>
        <v>0</v>
      </c>
      <c r="Q58" s="4">
        <f t="shared" si="3"/>
        <v>0</v>
      </c>
      <c r="R58" s="4">
        <f t="shared" si="4"/>
        <v>1.2749999999999999</v>
      </c>
      <c r="S58" s="4">
        <f t="shared" si="5"/>
        <v>0</v>
      </c>
    </row>
    <row r="59" spans="1:19">
      <c r="A59" s="3" t="s">
        <v>58</v>
      </c>
      <c r="B59" s="4">
        <v>2.0699999999999998</v>
      </c>
      <c r="C59" s="4">
        <v>1</v>
      </c>
      <c r="D59" s="4"/>
      <c r="E59" s="4"/>
      <c r="F59" s="4"/>
      <c r="G59" s="4"/>
      <c r="H59" s="4">
        <v>2</v>
      </c>
      <c r="I59" s="5">
        <v>1</v>
      </c>
      <c r="J59" s="5"/>
      <c r="K59" s="5"/>
      <c r="L59" s="5">
        <v>1</v>
      </c>
      <c r="M59" s="5"/>
      <c r="N59" s="6">
        <f t="shared" si="0"/>
        <v>0</v>
      </c>
      <c r="O59" s="4">
        <f t="shared" si="1"/>
        <v>2.0699999999999998</v>
      </c>
      <c r="P59" s="4">
        <f t="shared" si="2"/>
        <v>0</v>
      </c>
      <c r="Q59" s="4">
        <f t="shared" si="3"/>
        <v>0</v>
      </c>
      <c r="R59" s="4">
        <f t="shared" si="4"/>
        <v>2.0699999999999998</v>
      </c>
      <c r="S59" s="4">
        <f t="shared" si="5"/>
        <v>0</v>
      </c>
    </row>
    <row r="60" spans="1:19">
      <c r="A60" s="3" t="s">
        <v>59</v>
      </c>
      <c r="B60" s="4">
        <v>4.1399999999999997</v>
      </c>
      <c r="C60" s="4">
        <v>2</v>
      </c>
      <c r="D60" s="4"/>
      <c r="E60" s="4"/>
      <c r="F60" s="4"/>
      <c r="G60" s="4"/>
      <c r="H60" s="4">
        <v>2</v>
      </c>
      <c r="I60" s="5"/>
      <c r="J60" s="5">
        <v>1</v>
      </c>
      <c r="K60" s="5"/>
      <c r="L60" s="5"/>
      <c r="M60" s="5">
        <v>1</v>
      </c>
      <c r="N60" s="6">
        <f t="shared" si="0"/>
        <v>0</v>
      </c>
      <c r="O60" s="4">
        <f t="shared" si="1"/>
        <v>0</v>
      </c>
      <c r="P60" s="4">
        <f t="shared" si="2"/>
        <v>4.1399999999999997</v>
      </c>
      <c r="Q60" s="4">
        <f t="shared" si="3"/>
        <v>0</v>
      </c>
      <c r="R60" s="4">
        <f t="shared" si="4"/>
        <v>0</v>
      </c>
      <c r="S60" s="4">
        <f t="shared" si="5"/>
        <v>4.1399999999999997</v>
      </c>
    </row>
    <row r="61" spans="1:19">
      <c r="A61" s="3" t="s">
        <v>60</v>
      </c>
      <c r="B61" s="4">
        <v>2.0699999999999998</v>
      </c>
      <c r="C61" s="4">
        <v>1</v>
      </c>
      <c r="D61" s="4"/>
      <c r="E61" s="4"/>
      <c r="F61" s="4"/>
      <c r="G61" s="4"/>
      <c r="H61" s="4">
        <v>2</v>
      </c>
      <c r="I61" s="5"/>
      <c r="J61" s="5">
        <v>1</v>
      </c>
      <c r="K61" s="5"/>
      <c r="L61" s="5"/>
      <c r="M61" s="5">
        <v>1</v>
      </c>
      <c r="N61" s="6">
        <f t="shared" si="0"/>
        <v>0</v>
      </c>
      <c r="O61" s="4">
        <f t="shared" si="1"/>
        <v>0</v>
      </c>
      <c r="P61" s="4">
        <f t="shared" si="2"/>
        <v>2.0699999999999998</v>
      </c>
      <c r="Q61" s="4">
        <f t="shared" si="3"/>
        <v>0</v>
      </c>
      <c r="R61" s="4">
        <f t="shared" si="4"/>
        <v>0</v>
      </c>
      <c r="S61" s="4">
        <f t="shared" si="5"/>
        <v>2.0699999999999998</v>
      </c>
    </row>
    <row r="62" spans="1:19">
      <c r="A62" s="3" t="s">
        <v>61</v>
      </c>
      <c r="B62" s="4">
        <v>2.0699999999999998</v>
      </c>
      <c r="C62" s="4">
        <v>1</v>
      </c>
      <c r="D62" s="4"/>
      <c r="E62" s="4"/>
      <c r="F62" s="4"/>
      <c r="G62" s="4"/>
      <c r="H62" s="4">
        <v>2</v>
      </c>
      <c r="I62" s="5">
        <v>1</v>
      </c>
      <c r="J62" s="5"/>
      <c r="K62" s="5"/>
      <c r="L62" s="5">
        <v>1</v>
      </c>
      <c r="M62" s="5"/>
      <c r="N62" s="6">
        <f t="shared" si="0"/>
        <v>0</v>
      </c>
      <c r="O62" s="4">
        <f t="shared" si="1"/>
        <v>2.0699999999999998</v>
      </c>
      <c r="P62" s="4">
        <f t="shared" si="2"/>
        <v>0</v>
      </c>
      <c r="Q62" s="4">
        <f t="shared" si="3"/>
        <v>0</v>
      </c>
      <c r="R62" s="4">
        <f t="shared" si="4"/>
        <v>2.0699999999999998</v>
      </c>
      <c r="S62" s="4">
        <f t="shared" si="5"/>
        <v>0</v>
      </c>
    </row>
    <row r="63" spans="1:19">
      <c r="A63" s="3" t="s">
        <v>62</v>
      </c>
      <c r="B63" s="4">
        <v>2.0699999999999998</v>
      </c>
      <c r="C63" s="4">
        <v>1</v>
      </c>
      <c r="D63" s="4"/>
      <c r="E63" s="4"/>
      <c r="F63" s="4"/>
      <c r="G63" s="4"/>
      <c r="H63" s="4">
        <v>2</v>
      </c>
      <c r="I63" s="5">
        <v>1</v>
      </c>
      <c r="J63" s="5"/>
      <c r="K63" s="5"/>
      <c r="L63" s="5">
        <v>1</v>
      </c>
      <c r="M63" s="5"/>
      <c r="N63" s="6">
        <f t="shared" si="0"/>
        <v>0</v>
      </c>
      <c r="O63" s="4">
        <f t="shared" si="1"/>
        <v>2.0699999999999998</v>
      </c>
      <c r="P63" s="4">
        <f t="shared" si="2"/>
        <v>0</v>
      </c>
      <c r="Q63" s="4">
        <f t="shared" si="3"/>
        <v>0</v>
      </c>
      <c r="R63" s="4">
        <f t="shared" si="4"/>
        <v>2.0699999999999998</v>
      </c>
      <c r="S63" s="4">
        <f t="shared" si="5"/>
        <v>0</v>
      </c>
    </row>
    <row r="64" spans="1:19">
      <c r="A64" s="3" t="s">
        <v>63</v>
      </c>
      <c r="B64" s="4">
        <v>2.0699999999999998</v>
      </c>
      <c r="C64" s="4">
        <v>1</v>
      </c>
      <c r="D64" s="4"/>
      <c r="E64" s="4"/>
      <c r="F64" s="4"/>
      <c r="G64" s="4"/>
      <c r="H64" s="4">
        <v>2</v>
      </c>
      <c r="I64" s="5">
        <v>1</v>
      </c>
      <c r="J64" s="5"/>
      <c r="K64" s="5"/>
      <c r="L64" s="5">
        <v>1</v>
      </c>
      <c r="M64" s="5"/>
      <c r="N64" s="6">
        <f t="shared" si="0"/>
        <v>0</v>
      </c>
      <c r="O64" s="4">
        <f t="shared" si="1"/>
        <v>2.0699999999999998</v>
      </c>
      <c r="P64" s="4">
        <f t="shared" si="2"/>
        <v>0</v>
      </c>
      <c r="Q64" s="4">
        <f t="shared" si="3"/>
        <v>0</v>
      </c>
      <c r="R64" s="4">
        <f t="shared" si="4"/>
        <v>2.0699999999999998</v>
      </c>
      <c r="S64" s="4">
        <f t="shared" si="5"/>
        <v>0</v>
      </c>
    </row>
    <row r="65" spans="1:19">
      <c r="A65" s="3" t="s">
        <v>64</v>
      </c>
      <c r="B65" s="4">
        <v>2.0699999999999998</v>
      </c>
      <c r="C65" s="4">
        <v>1</v>
      </c>
      <c r="D65" s="4"/>
      <c r="E65" s="4"/>
      <c r="F65" s="4"/>
      <c r="G65" s="4"/>
      <c r="H65" s="4">
        <v>2</v>
      </c>
      <c r="I65" s="5"/>
      <c r="J65" s="5">
        <v>1</v>
      </c>
      <c r="K65" s="5"/>
      <c r="L65" s="5"/>
      <c r="M65" s="5">
        <v>1</v>
      </c>
      <c r="N65" s="6">
        <f t="shared" si="0"/>
        <v>0</v>
      </c>
      <c r="O65" s="4">
        <f t="shared" si="1"/>
        <v>0</v>
      </c>
      <c r="P65" s="4">
        <f t="shared" si="2"/>
        <v>2.0699999999999998</v>
      </c>
      <c r="Q65" s="4">
        <f t="shared" si="3"/>
        <v>0</v>
      </c>
      <c r="R65" s="4">
        <f t="shared" si="4"/>
        <v>0</v>
      </c>
      <c r="S65" s="4">
        <f t="shared" si="5"/>
        <v>2.0699999999999998</v>
      </c>
    </row>
    <row r="66" spans="1:19">
      <c r="A66" s="3" t="s">
        <v>65</v>
      </c>
      <c r="B66" s="4">
        <v>2.0699999999999998</v>
      </c>
      <c r="C66" s="4">
        <v>1</v>
      </c>
      <c r="D66" s="4"/>
      <c r="E66" s="4"/>
      <c r="F66" s="4"/>
      <c r="G66" s="4"/>
      <c r="H66" s="4">
        <v>2</v>
      </c>
      <c r="I66" s="5"/>
      <c r="J66" s="5">
        <v>1</v>
      </c>
      <c r="K66" s="5"/>
      <c r="L66" s="5"/>
      <c r="M66" s="5">
        <v>1</v>
      </c>
      <c r="N66" s="6">
        <f t="shared" si="0"/>
        <v>0</v>
      </c>
      <c r="O66" s="4">
        <f t="shared" si="1"/>
        <v>0</v>
      </c>
      <c r="P66" s="4">
        <f t="shared" si="2"/>
        <v>2.0699999999999998</v>
      </c>
      <c r="Q66" s="4">
        <f t="shared" si="3"/>
        <v>0</v>
      </c>
      <c r="R66" s="4">
        <f t="shared" si="4"/>
        <v>0</v>
      </c>
      <c r="S66" s="4">
        <f t="shared" si="5"/>
        <v>2.0699999999999998</v>
      </c>
    </row>
    <row r="67" spans="1:19">
      <c r="A67" s="3" t="s">
        <v>66</v>
      </c>
      <c r="B67" s="4">
        <v>2.0699999999999998</v>
      </c>
      <c r="C67" s="4">
        <v>1</v>
      </c>
      <c r="D67" s="4"/>
      <c r="E67" s="4"/>
      <c r="F67" s="4"/>
      <c r="G67" s="4"/>
      <c r="H67" s="4">
        <v>2</v>
      </c>
      <c r="I67" s="5">
        <v>1</v>
      </c>
      <c r="J67" s="5"/>
      <c r="K67" s="5"/>
      <c r="L67" s="5">
        <v>1</v>
      </c>
      <c r="M67" s="5"/>
      <c r="N67" s="6">
        <f t="shared" si="0"/>
        <v>0</v>
      </c>
      <c r="O67" s="4">
        <f t="shared" si="1"/>
        <v>2.0699999999999998</v>
      </c>
      <c r="P67" s="4">
        <f t="shared" si="2"/>
        <v>0</v>
      </c>
      <c r="Q67" s="4">
        <f t="shared" si="3"/>
        <v>0</v>
      </c>
      <c r="R67" s="4">
        <f t="shared" si="4"/>
        <v>2.0699999999999998</v>
      </c>
      <c r="S67" s="4">
        <f t="shared" si="5"/>
        <v>0</v>
      </c>
    </row>
    <row r="68" spans="1:19">
      <c r="A68" s="3" t="s">
        <v>67</v>
      </c>
      <c r="B68" s="4">
        <v>2.0699999999999998</v>
      </c>
      <c r="C68" s="4">
        <v>1</v>
      </c>
      <c r="D68" s="4"/>
      <c r="E68" s="4"/>
      <c r="F68" s="4"/>
      <c r="G68" s="4"/>
      <c r="H68" s="4">
        <v>2</v>
      </c>
      <c r="I68" s="5">
        <v>1</v>
      </c>
      <c r="J68" s="5"/>
      <c r="K68" s="5"/>
      <c r="L68" s="5">
        <v>1</v>
      </c>
      <c r="M68" s="5"/>
      <c r="N68" s="6">
        <f t="shared" si="0"/>
        <v>0</v>
      </c>
      <c r="O68" s="4">
        <f t="shared" si="1"/>
        <v>2.0699999999999998</v>
      </c>
      <c r="P68" s="4">
        <f t="shared" si="2"/>
        <v>0</v>
      </c>
      <c r="Q68" s="4">
        <f t="shared" si="3"/>
        <v>0</v>
      </c>
      <c r="R68" s="4">
        <f t="shared" si="4"/>
        <v>2.0699999999999998</v>
      </c>
      <c r="S68" s="4">
        <f t="shared" si="5"/>
        <v>0</v>
      </c>
    </row>
    <row r="69" spans="1:19">
      <c r="A69" s="7" t="s">
        <v>68</v>
      </c>
      <c r="B69" s="8">
        <v>2.5499999999999998</v>
      </c>
      <c r="C69" s="4"/>
      <c r="D69" s="4">
        <v>2</v>
      </c>
      <c r="E69" s="4"/>
      <c r="F69" s="4"/>
      <c r="G69" s="4"/>
      <c r="H69" s="4">
        <v>2</v>
      </c>
      <c r="I69" s="5"/>
      <c r="J69" s="5">
        <v>1</v>
      </c>
      <c r="K69" s="5"/>
      <c r="L69" s="5"/>
      <c r="M69" s="5">
        <v>1</v>
      </c>
      <c r="N69" s="6">
        <f t="shared" si="0"/>
        <v>0</v>
      </c>
      <c r="O69" s="4">
        <f t="shared" si="1"/>
        <v>0</v>
      </c>
      <c r="P69" s="4">
        <f t="shared" si="2"/>
        <v>2.5499999999999998</v>
      </c>
      <c r="Q69" s="4">
        <f t="shared" si="3"/>
        <v>0</v>
      </c>
      <c r="R69" s="4">
        <f t="shared" si="4"/>
        <v>0</v>
      </c>
      <c r="S69" s="4">
        <f t="shared" si="5"/>
        <v>2.5499999999999998</v>
      </c>
    </row>
    <row r="70" spans="1:19">
      <c r="A70" s="3"/>
      <c r="B70" s="4"/>
      <c r="C70" s="4"/>
      <c r="D70" s="4"/>
      <c r="E70" s="4"/>
      <c r="F70" s="4"/>
      <c r="G70" s="4"/>
      <c r="H70" s="4"/>
      <c r="I70" s="5"/>
      <c r="J70" s="5"/>
      <c r="K70" s="5"/>
      <c r="L70" s="5"/>
      <c r="M70" s="5"/>
      <c r="N70" s="6"/>
      <c r="O70" s="4"/>
      <c r="P70" s="4"/>
      <c r="Q70" s="4"/>
      <c r="R70" s="4"/>
      <c r="S70" s="4"/>
    </row>
    <row r="71" spans="1:19">
      <c r="A71" s="3" t="s">
        <v>69</v>
      </c>
      <c r="B71" s="4">
        <v>2.0699999999999998</v>
      </c>
      <c r="C71" s="4">
        <v>1</v>
      </c>
      <c r="D71" s="4"/>
      <c r="E71" s="4"/>
      <c r="F71" s="4"/>
      <c r="G71" s="4"/>
      <c r="H71" s="4">
        <v>2</v>
      </c>
      <c r="I71" s="5">
        <v>1</v>
      </c>
      <c r="J71" s="5"/>
      <c r="K71" s="5"/>
      <c r="L71" s="5">
        <v>1</v>
      </c>
      <c r="M71" s="5"/>
      <c r="N71" s="6">
        <f t="shared" si="0"/>
        <v>0</v>
      </c>
      <c r="O71" s="4">
        <f t="shared" si="1"/>
        <v>2.0699999999999998</v>
      </c>
      <c r="P71" s="4">
        <f t="shared" si="2"/>
        <v>0</v>
      </c>
      <c r="Q71" s="4">
        <f t="shared" si="3"/>
        <v>0</v>
      </c>
      <c r="R71" s="4">
        <f t="shared" si="4"/>
        <v>2.0699999999999998</v>
      </c>
      <c r="S71" s="4">
        <f t="shared" si="5"/>
        <v>0</v>
      </c>
    </row>
    <row r="72" spans="1:19">
      <c r="A72" s="3" t="s">
        <v>70</v>
      </c>
      <c r="B72" s="4">
        <v>1.2749999999999999</v>
      </c>
      <c r="C72" s="4"/>
      <c r="D72" s="4"/>
      <c r="E72" s="4"/>
      <c r="F72" s="4"/>
      <c r="G72" s="4"/>
      <c r="H72" s="4">
        <v>2</v>
      </c>
      <c r="I72" s="5">
        <v>1</v>
      </c>
      <c r="J72" s="5"/>
      <c r="K72" s="5"/>
      <c r="L72" s="5">
        <v>1</v>
      </c>
      <c r="M72" s="5"/>
      <c r="N72" s="6">
        <f t="shared" si="0"/>
        <v>0</v>
      </c>
      <c r="O72" s="4">
        <f t="shared" si="1"/>
        <v>1.2749999999999999</v>
      </c>
      <c r="P72" s="4">
        <f t="shared" si="2"/>
        <v>0</v>
      </c>
      <c r="Q72" s="4">
        <f t="shared" si="3"/>
        <v>0</v>
      </c>
      <c r="R72" s="4">
        <f t="shared" si="4"/>
        <v>1.2749999999999999</v>
      </c>
      <c r="S72" s="4">
        <f t="shared" si="5"/>
        <v>0</v>
      </c>
    </row>
    <row r="73" spans="1:19">
      <c r="A73" s="7" t="s">
        <v>71</v>
      </c>
      <c r="B73" s="8">
        <v>1.2749999999999999</v>
      </c>
      <c r="C73" s="4"/>
      <c r="D73" s="4">
        <v>1</v>
      </c>
      <c r="E73" s="4"/>
      <c r="F73" s="4"/>
      <c r="G73" s="4"/>
      <c r="H73" s="4">
        <v>2</v>
      </c>
      <c r="I73" s="5"/>
      <c r="J73" s="5">
        <v>1</v>
      </c>
      <c r="K73" s="5"/>
      <c r="L73" s="5"/>
      <c r="M73" s="5">
        <v>1</v>
      </c>
      <c r="N73" s="6">
        <f t="shared" si="0"/>
        <v>0</v>
      </c>
      <c r="O73" s="4">
        <f t="shared" si="1"/>
        <v>0</v>
      </c>
      <c r="P73" s="4">
        <f t="shared" si="2"/>
        <v>1.2749999999999999</v>
      </c>
      <c r="Q73" s="4">
        <f t="shared" si="3"/>
        <v>0</v>
      </c>
      <c r="R73" s="4">
        <f t="shared" si="4"/>
        <v>0</v>
      </c>
      <c r="S73" s="4">
        <f t="shared" si="5"/>
        <v>1.2749999999999999</v>
      </c>
    </row>
    <row r="74" spans="1:19">
      <c r="A74" s="3" t="s">
        <v>72</v>
      </c>
      <c r="B74" s="4">
        <v>3.3449999999999998</v>
      </c>
      <c r="C74" s="4">
        <v>1</v>
      </c>
      <c r="D74" s="4">
        <v>1</v>
      </c>
      <c r="E74" s="4"/>
      <c r="F74" s="4"/>
      <c r="G74" s="4"/>
      <c r="H74" s="4">
        <v>2</v>
      </c>
      <c r="I74" s="5"/>
      <c r="J74" s="5">
        <v>1</v>
      </c>
      <c r="K74" s="5"/>
      <c r="L74" s="5"/>
      <c r="M74" s="5">
        <v>1</v>
      </c>
      <c r="N74" s="6">
        <f t="shared" si="0"/>
        <v>0</v>
      </c>
      <c r="O74" s="4">
        <f t="shared" si="1"/>
        <v>0</v>
      </c>
      <c r="P74" s="4">
        <f t="shared" si="2"/>
        <v>3.3449999999999998</v>
      </c>
      <c r="Q74" s="4">
        <f t="shared" si="3"/>
        <v>0</v>
      </c>
      <c r="R74" s="4">
        <f t="shared" si="4"/>
        <v>0</v>
      </c>
      <c r="S74" s="4">
        <f t="shared" si="5"/>
        <v>3.3449999999999998</v>
      </c>
    </row>
    <row r="75" spans="1:19">
      <c r="A75" s="9" t="s">
        <v>73</v>
      </c>
      <c r="B75" s="4">
        <v>1.2569999999999999</v>
      </c>
      <c r="C75" s="4"/>
      <c r="D75" s="4">
        <v>1</v>
      </c>
      <c r="E75" s="4"/>
      <c r="F75" s="4"/>
      <c r="G75" s="4"/>
      <c r="H75" s="4">
        <v>2</v>
      </c>
      <c r="I75" s="5"/>
      <c r="J75" s="5">
        <v>1</v>
      </c>
      <c r="K75" s="5"/>
      <c r="L75" s="5"/>
      <c r="M75" s="5">
        <v>1</v>
      </c>
      <c r="N75" s="6">
        <f t="shared" si="0"/>
        <v>0</v>
      </c>
      <c r="O75" s="4">
        <f t="shared" si="1"/>
        <v>0</v>
      </c>
      <c r="P75" s="4">
        <f t="shared" si="2"/>
        <v>1.2569999999999999</v>
      </c>
      <c r="Q75" s="4">
        <f t="shared" si="3"/>
        <v>0</v>
      </c>
      <c r="R75" s="4">
        <f t="shared" si="4"/>
        <v>0</v>
      </c>
      <c r="S75" s="4">
        <f t="shared" si="5"/>
        <v>1.2569999999999999</v>
      </c>
    </row>
    <row r="76" spans="1:19">
      <c r="A76" s="3" t="s">
        <v>74</v>
      </c>
      <c r="B76" s="4">
        <v>1.2749999999999999</v>
      </c>
      <c r="C76" s="4"/>
      <c r="D76" s="4">
        <v>1</v>
      </c>
      <c r="E76" s="4"/>
      <c r="F76" s="4"/>
      <c r="G76" s="4"/>
      <c r="H76" s="4">
        <v>2</v>
      </c>
      <c r="I76" s="5">
        <v>1</v>
      </c>
      <c r="J76" s="5"/>
      <c r="K76" s="5"/>
      <c r="L76" s="5">
        <v>1</v>
      </c>
      <c r="M76" s="5"/>
      <c r="N76" s="6">
        <f t="shared" si="0"/>
        <v>0</v>
      </c>
      <c r="O76" s="4">
        <f t="shared" si="1"/>
        <v>1.2749999999999999</v>
      </c>
      <c r="P76" s="4">
        <f t="shared" si="2"/>
        <v>0</v>
      </c>
      <c r="Q76" s="4">
        <f t="shared" si="3"/>
        <v>0</v>
      </c>
      <c r="R76" s="4">
        <f t="shared" si="4"/>
        <v>1.2749999999999999</v>
      </c>
      <c r="S76" s="4">
        <f t="shared" si="5"/>
        <v>0</v>
      </c>
    </row>
    <row r="77" spans="1:19">
      <c r="A77" s="3" t="s">
        <v>75</v>
      </c>
      <c r="B77" s="4">
        <v>1.2749999999999999</v>
      </c>
      <c r="C77" s="4"/>
      <c r="D77" s="4">
        <v>1</v>
      </c>
      <c r="E77" s="4"/>
      <c r="F77" s="4"/>
      <c r="G77" s="4"/>
      <c r="H77" s="4">
        <v>2</v>
      </c>
      <c r="I77" s="5"/>
      <c r="J77" s="5">
        <v>1</v>
      </c>
      <c r="K77" s="5"/>
      <c r="L77" s="5"/>
      <c r="M77" s="5">
        <v>1</v>
      </c>
      <c r="N77" s="6">
        <f t="shared" si="0"/>
        <v>0</v>
      </c>
      <c r="O77" s="4">
        <f t="shared" si="1"/>
        <v>0</v>
      </c>
      <c r="P77" s="4">
        <f t="shared" si="2"/>
        <v>1.2749999999999999</v>
      </c>
      <c r="Q77" s="4">
        <f t="shared" si="3"/>
        <v>0</v>
      </c>
      <c r="R77" s="4">
        <f t="shared" si="4"/>
        <v>0</v>
      </c>
      <c r="S77" s="4">
        <f t="shared" si="5"/>
        <v>1.2749999999999999</v>
      </c>
    </row>
    <row r="78" spans="1:19">
      <c r="A78" s="3" t="s">
        <v>76</v>
      </c>
      <c r="B78" s="4">
        <v>4.1399999999999997</v>
      </c>
      <c r="C78" s="4">
        <v>2</v>
      </c>
      <c r="D78" s="4"/>
      <c r="E78" s="4"/>
      <c r="F78" s="4"/>
      <c r="G78" s="4"/>
      <c r="H78" s="4">
        <v>2</v>
      </c>
      <c r="I78" s="5"/>
      <c r="J78" s="5">
        <v>1</v>
      </c>
      <c r="K78" s="5"/>
      <c r="L78" s="5"/>
      <c r="M78" s="5">
        <v>1</v>
      </c>
      <c r="N78" s="6">
        <f t="shared" si="0"/>
        <v>0</v>
      </c>
      <c r="O78" s="4">
        <f t="shared" si="1"/>
        <v>0</v>
      </c>
      <c r="P78" s="4">
        <f t="shared" si="2"/>
        <v>4.1399999999999997</v>
      </c>
      <c r="Q78" s="4">
        <f t="shared" si="3"/>
        <v>0</v>
      </c>
      <c r="R78" s="4">
        <f t="shared" si="4"/>
        <v>0</v>
      </c>
      <c r="S78" s="4">
        <f t="shared" si="5"/>
        <v>4.1399999999999997</v>
      </c>
    </row>
    <row r="79" spans="1:19">
      <c r="A79" s="3"/>
      <c r="B79" s="4"/>
      <c r="C79" s="4"/>
      <c r="D79" s="4"/>
      <c r="E79" s="4"/>
      <c r="F79" s="4"/>
      <c r="G79" s="4"/>
      <c r="H79" s="4"/>
      <c r="I79" s="5"/>
      <c r="J79" s="5"/>
      <c r="K79" s="5"/>
      <c r="L79" s="5"/>
      <c r="M79" s="5"/>
      <c r="N79" s="6"/>
      <c r="O79" s="4"/>
      <c r="P79" s="4"/>
      <c r="Q79" s="4"/>
      <c r="R79" s="4"/>
      <c r="S79" s="4"/>
    </row>
    <row r="80" spans="1:19">
      <c r="A80" s="10" t="s">
        <v>77</v>
      </c>
      <c r="B80" s="4">
        <v>4.1399999999999997</v>
      </c>
      <c r="C80" s="4">
        <v>2</v>
      </c>
      <c r="D80" s="4"/>
      <c r="E80" s="4"/>
      <c r="F80" s="4"/>
      <c r="G80" s="4"/>
      <c r="H80" s="4">
        <v>2</v>
      </c>
      <c r="I80" s="5">
        <v>1</v>
      </c>
      <c r="J80" s="5"/>
      <c r="K80" s="5"/>
      <c r="L80" s="5">
        <v>1</v>
      </c>
      <c r="M80" s="5"/>
      <c r="N80" s="6">
        <f t="shared" si="0"/>
        <v>0</v>
      </c>
      <c r="O80" s="4">
        <f t="shared" si="1"/>
        <v>4.1399999999999997</v>
      </c>
      <c r="P80" s="4">
        <f t="shared" si="2"/>
        <v>0</v>
      </c>
      <c r="Q80" s="4">
        <f t="shared" si="3"/>
        <v>0</v>
      </c>
      <c r="R80" s="4">
        <f t="shared" si="4"/>
        <v>4.1399999999999997</v>
      </c>
      <c r="S80" s="4">
        <f t="shared" si="5"/>
        <v>0</v>
      </c>
    </row>
    <row r="81" spans="1:19">
      <c r="A81" s="3" t="s">
        <v>78</v>
      </c>
      <c r="B81" s="4">
        <v>2.5499999999999998</v>
      </c>
      <c r="C81" s="4"/>
      <c r="D81" s="4">
        <v>1</v>
      </c>
      <c r="E81" s="4">
        <v>1</v>
      </c>
      <c r="F81" s="4"/>
      <c r="G81" s="4"/>
      <c r="H81" s="4">
        <v>3</v>
      </c>
      <c r="I81" s="5">
        <v>1</v>
      </c>
      <c r="J81" s="5"/>
      <c r="K81" s="5">
        <v>1</v>
      </c>
      <c r="L81" s="5"/>
      <c r="M81" s="5">
        <v>1</v>
      </c>
      <c r="N81" s="6">
        <f t="shared" si="0"/>
        <v>0</v>
      </c>
      <c r="O81" s="4">
        <f t="shared" si="1"/>
        <v>2.5499999999999998</v>
      </c>
      <c r="P81" s="4">
        <f t="shared" si="2"/>
        <v>0</v>
      </c>
      <c r="Q81" s="4">
        <f t="shared" si="3"/>
        <v>2.5499999999999998</v>
      </c>
      <c r="R81" s="4">
        <f t="shared" si="4"/>
        <v>0</v>
      </c>
      <c r="S81" s="4">
        <f t="shared" si="5"/>
        <v>2.5499999999999998</v>
      </c>
    </row>
    <row r="82" spans="1:19">
      <c r="A82" s="3" t="s">
        <v>79</v>
      </c>
      <c r="B82" s="4">
        <v>2.0699999999999998</v>
      </c>
      <c r="C82" s="4">
        <v>1</v>
      </c>
      <c r="D82" s="4"/>
      <c r="E82" s="4"/>
      <c r="F82" s="4"/>
      <c r="G82" s="4"/>
      <c r="H82" s="4">
        <v>2</v>
      </c>
      <c r="I82" s="5">
        <v>1</v>
      </c>
      <c r="J82" s="5"/>
      <c r="K82" s="5"/>
      <c r="L82" s="5">
        <v>1</v>
      </c>
      <c r="M82" s="5"/>
      <c r="N82" s="6">
        <f t="shared" si="0"/>
        <v>0</v>
      </c>
      <c r="O82" s="4">
        <f t="shared" si="1"/>
        <v>2.0699999999999998</v>
      </c>
      <c r="P82" s="4">
        <f t="shared" si="2"/>
        <v>0</v>
      </c>
      <c r="Q82" s="4">
        <f t="shared" si="3"/>
        <v>0</v>
      </c>
      <c r="R82" s="4">
        <f t="shared" si="4"/>
        <v>2.0699999999999998</v>
      </c>
      <c r="S82" s="4">
        <f t="shared" si="5"/>
        <v>0</v>
      </c>
    </row>
    <row r="83" spans="1:19">
      <c r="A83" s="3" t="s">
        <v>80</v>
      </c>
      <c r="B83" s="4">
        <v>2.0699999999999998</v>
      </c>
      <c r="C83" s="4">
        <v>1</v>
      </c>
      <c r="D83" s="4"/>
      <c r="E83" s="4"/>
      <c r="F83" s="4"/>
      <c r="G83" s="4"/>
      <c r="H83" s="4">
        <v>1</v>
      </c>
      <c r="I83" s="5"/>
      <c r="J83" s="5">
        <v>1</v>
      </c>
      <c r="K83" s="5"/>
      <c r="L83" s="5"/>
      <c r="M83" s="5"/>
      <c r="N83" s="6">
        <f t="shared" si="0"/>
        <v>0</v>
      </c>
      <c r="O83" s="4">
        <f t="shared" si="1"/>
        <v>0</v>
      </c>
      <c r="P83" s="4">
        <f t="shared" si="2"/>
        <v>2.0699999999999998</v>
      </c>
      <c r="Q83" s="4">
        <f t="shared" si="3"/>
        <v>0</v>
      </c>
      <c r="R83" s="4">
        <f t="shared" si="4"/>
        <v>0</v>
      </c>
      <c r="S83" s="4">
        <f t="shared" si="5"/>
        <v>0</v>
      </c>
    </row>
    <row r="84" spans="1:19">
      <c r="A84" s="3" t="s">
        <v>81</v>
      </c>
      <c r="B84" s="4">
        <v>1.2749999999999999</v>
      </c>
      <c r="C84" s="4"/>
      <c r="D84" s="4">
        <v>1</v>
      </c>
      <c r="E84" s="4"/>
      <c r="F84" s="4"/>
      <c r="G84" s="4"/>
      <c r="H84" s="4">
        <v>1</v>
      </c>
      <c r="I84" s="5"/>
      <c r="J84" s="5"/>
      <c r="K84" s="5"/>
      <c r="L84" s="5">
        <v>1</v>
      </c>
      <c r="M84" s="5"/>
      <c r="N84" s="6">
        <f t="shared" si="0"/>
        <v>0</v>
      </c>
      <c r="O84" s="4">
        <f t="shared" si="1"/>
        <v>0</v>
      </c>
      <c r="P84" s="4">
        <f t="shared" si="2"/>
        <v>0</v>
      </c>
      <c r="Q84" s="4">
        <f t="shared" si="3"/>
        <v>0</v>
      </c>
      <c r="R84" s="4">
        <f t="shared" si="4"/>
        <v>1.2749999999999999</v>
      </c>
      <c r="S84" s="4">
        <f t="shared" si="5"/>
        <v>0</v>
      </c>
    </row>
    <row r="85" spans="1:19">
      <c r="A85" s="7" t="s">
        <v>82</v>
      </c>
      <c r="B85" s="4">
        <v>1.2749999999999999</v>
      </c>
      <c r="C85" s="4"/>
      <c r="D85" s="4">
        <v>1</v>
      </c>
      <c r="E85" s="4"/>
      <c r="F85" s="4"/>
      <c r="G85" s="4"/>
      <c r="H85" s="4">
        <v>1</v>
      </c>
      <c r="I85" s="5"/>
      <c r="J85" s="5"/>
      <c r="K85" s="5"/>
      <c r="L85" s="5">
        <v>1</v>
      </c>
      <c r="M85" s="5"/>
      <c r="N85" s="6">
        <f t="shared" si="0"/>
        <v>0</v>
      </c>
      <c r="O85" s="4">
        <f t="shared" si="1"/>
        <v>0</v>
      </c>
      <c r="P85" s="4">
        <f t="shared" si="2"/>
        <v>0</v>
      </c>
      <c r="Q85" s="4">
        <f t="shared" si="3"/>
        <v>0</v>
      </c>
      <c r="R85" s="4">
        <f t="shared" si="4"/>
        <v>1.2749999999999999</v>
      </c>
      <c r="S85" s="4">
        <f t="shared" si="5"/>
        <v>0</v>
      </c>
    </row>
    <row r="86" spans="1:19">
      <c r="A86" s="3" t="s">
        <v>83</v>
      </c>
      <c r="B86" s="4">
        <v>4.1399999999999997</v>
      </c>
      <c r="C86" s="4">
        <v>2</v>
      </c>
      <c r="D86" s="4"/>
      <c r="E86" s="4"/>
      <c r="F86" s="4"/>
      <c r="G86" s="4"/>
      <c r="H86" s="4">
        <v>1</v>
      </c>
      <c r="I86" s="5"/>
      <c r="J86" s="5"/>
      <c r="K86" s="5">
        <v>1</v>
      </c>
      <c r="L86" s="5"/>
      <c r="M86" s="5"/>
      <c r="N86" s="6">
        <f t="shared" si="0"/>
        <v>0</v>
      </c>
      <c r="O86" s="4">
        <f t="shared" si="1"/>
        <v>0</v>
      </c>
      <c r="P86" s="4">
        <f t="shared" si="2"/>
        <v>0</v>
      </c>
      <c r="Q86" s="4">
        <f t="shared" si="3"/>
        <v>4.1399999999999997</v>
      </c>
      <c r="R86" s="4">
        <f t="shared" si="4"/>
        <v>0</v>
      </c>
      <c r="S86" s="4">
        <f t="shared" si="5"/>
        <v>0</v>
      </c>
    </row>
    <row r="87" spans="1:19">
      <c r="A87" s="3" t="s">
        <v>84</v>
      </c>
      <c r="B87" s="4">
        <v>1.2749999999999999</v>
      </c>
      <c r="C87" s="4"/>
      <c r="D87" s="4">
        <v>1</v>
      </c>
      <c r="E87" s="4"/>
      <c r="F87" s="4"/>
      <c r="G87" s="4"/>
      <c r="H87" s="4">
        <v>1</v>
      </c>
      <c r="I87" s="5"/>
      <c r="J87" s="5">
        <v>1</v>
      </c>
      <c r="K87" s="5"/>
      <c r="L87" s="5"/>
      <c r="M87" s="5"/>
      <c r="N87" s="6">
        <f t="shared" si="0"/>
        <v>0</v>
      </c>
      <c r="O87" s="4">
        <f t="shared" si="1"/>
        <v>0</v>
      </c>
      <c r="P87" s="4">
        <f t="shared" si="2"/>
        <v>1.2749999999999999</v>
      </c>
      <c r="Q87" s="4">
        <f t="shared" si="3"/>
        <v>0</v>
      </c>
      <c r="R87" s="4">
        <f t="shared" si="4"/>
        <v>0</v>
      </c>
      <c r="S87" s="4">
        <f t="shared" si="5"/>
        <v>0</v>
      </c>
    </row>
    <row r="88" spans="1:19">
      <c r="A88" s="7" t="s">
        <v>85</v>
      </c>
      <c r="B88" s="8">
        <v>2.0699999999999998</v>
      </c>
      <c r="C88" s="4">
        <v>1</v>
      </c>
      <c r="D88" s="4"/>
      <c r="E88" s="4"/>
      <c r="F88" s="4"/>
      <c r="G88" s="4"/>
      <c r="H88" s="4">
        <v>1</v>
      </c>
      <c r="I88" s="5"/>
      <c r="J88" s="5">
        <v>1</v>
      </c>
      <c r="K88" s="5"/>
      <c r="L88" s="5"/>
      <c r="M88" s="5"/>
      <c r="N88" s="6">
        <f t="shared" si="0"/>
        <v>0</v>
      </c>
      <c r="O88" s="4">
        <f t="shared" si="1"/>
        <v>0</v>
      </c>
      <c r="P88" s="4">
        <f t="shared" si="2"/>
        <v>2.0699999999999998</v>
      </c>
      <c r="Q88" s="4">
        <f t="shared" si="3"/>
        <v>0</v>
      </c>
      <c r="R88" s="4">
        <f t="shared" si="4"/>
        <v>0</v>
      </c>
      <c r="S88" s="4">
        <f t="shared" si="5"/>
        <v>0</v>
      </c>
    </row>
    <row r="89" spans="1:19">
      <c r="A89" s="3"/>
      <c r="B89" s="4"/>
      <c r="C89" s="4"/>
      <c r="D89" s="4"/>
      <c r="E89" s="4"/>
      <c r="F89" s="4"/>
      <c r="G89" s="4"/>
      <c r="H89" s="4"/>
      <c r="I89" s="5"/>
      <c r="J89" s="5"/>
      <c r="K89" s="5"/>
      <c r="L89" s="5"/>
      <c r="M89" s="5"/>
      <c r="N89" s="6"/>
      <c r="O89" s="4"/>
      <c r="P89" s="4"/>
      <c r="Q89" s="4"/>
      <c r="R89" s="4"/>
      <c r="S89" s="4"/>
    </row>
    <row r="90" spans="1:19">
      <c r="A90" s="3" t="s">
        <v>86</v>
      </c>
      <c r="B90" s="4">
        <v>2.0699999999999998</v>
      </c>
      <c r="C90" s="4">
        <v>1</v>
      </c>
      <c r="D90" s="4"/>
      <c r="E90" s="4"/>
      <c r="F90" s="4"/>
      <c r="G90" s="4"/>
      <c r="H90" s="4">
        <v>1</v>
      </c>
      <c r="I90" s="5"/>
      <c r="J90" s="5"/>
      <c r="K90" s="5"/>
      <c r="L90" s="5">
        <v>1</v>
      </c>
      <c r="M90" s="5"/>
      <c r="N90" s="6">
        <f t="shared" si="0"/>
        <v>0</v>
      </c>
      <c r="O90" s="4">
        <f t="shared" si="1"/>
        <v>0</v>
      </c>
      <c r="P90" s="4">
        <f t="shared" si="2"/>
        <v>0</v>
      </c>
      <c r="Q90" s="4">
        <f t="shared" si="3"/>
        <v>0</v>
      </c>
      <c r="R90" s="4">
        <f t="shared" si="4"/>
        <v>2.0699999999999998</v>
      </c>
      <c r="S90" s="4">
        <f t="shared" si="5"/>
        <v>0</v>
      </c>
    </row>
    <row r="91" spans="1:19">
      <c r="A91" s="7" t="s">
        <v>87</v>
      </c>
      <c r="B91" s="4">
        <v>1.2749999999999999</v>
      </c>
      <c r="C91" s="4"/>
      <c r="D91" s="4">
        <v>1</v>
      </c>
      <c r="E91" s="4"/>
      <c r="F91" s="4"/>
      <c r="G91" s="4"/>
      <c r="H91" s="4">
        <v>1</v>
      </c>
      <c r="I91" s="5"/>
      <c r="J91" s="5"/>
      <c r="K91" s="5"/>
      <c r="L91" s="5">
        <v>1</v>
      </c>
      <c r="M91" s="5"/>
      <c r="N91" s="6">
        <f t="shared" si="0"/>
        <v>0</v>
      </c>
      <c r="O91" s="4">
        <f t="shared" si="1"/>
        <v>0</v>
      </c>
      <c r="P91" s="4">
        <f t="shared" si="2"/>
        <v>0</v>
      </c>
      <c r="Q91" s="4">
        <f t="shared" si="3"/>
        <v>0</v>
      </c>
      <c r="R91" s="4">
        <f t="shared" si="4"/>
        <v>1.2749999999999999</v>
      </c>
      <c r="S91" s="4">
        <f t="shared" si="5"/>
        <v>0</v>
      </c>
    </row>
    <row r="92" spans="1:19">
      <c r="A92" s="3" t="s">
        <v>88</v>
      </c>
      <c r="B92" s="4">
        <v>2.5499999999999998</v>
      </c>
      <c r="C92" s="4"/>
      <c r="D92" s="4"/>
      <c r="E92" s="4"/>
      <c r="F92" s="4">
        <v>1</v>
      </c>
      <c r="G92" s="4"/>
      <c r="H92" s="4">
        <v>1</v>
      </c>
      <c r="I92" s="5"/>
      <c r="J92" s="5"/>
      <c r="K92" s="5"/>
      <c r="L92" s="5">
        <v>1</v>
      </c>
      <c r="M92" s="5"/>
      <c r="N92" s="6">
        <f t="shared" si="0"/>
        <v>0</v>
      </c>
      <c r="O92" s="4">
        <f t="shared" si="1"/>
        <v>0</v>
      </c>
      <c r="P92" s="4">
        <f t="shared" si="2"/>
        <v>0</v>
      </c>
      <c r="Q92" s="4">
        <f t="shared" si="3"/>
        <v>0</v>
      </c>
      <c r="R92" s="4">
        <f t="shared" si="4"/>
        <v>2.5499999999999998</v>
      </c>
      <c r="S92" s="4">
        <f t="shared" si="5"/>
        <v>0</v>
      </c>
    </row>
    <row r="93" spans="1:19">
      <c r="A93" s="7" t="s">
        <v>89</v>
      </c>
      <c r="B93" s="4">
        <v>1.2749999999999999</v>
      </c>
      <c r="C93" s="4"/>
      <c r="D93" s="4">
        <v>1</v>
      </c>
      <c r="E93" s="4"/>
      <c r="F93" s="4"/>
      <c r="G93" s="4"/>
      <c r="H93" s="4">
        <v>1</v>
      </c>
      <c r="I93" s="5"/>
      <c r="J93" s="5"/>
      <c r="K93" s="5"/>
      <c r="L93" s="5"/>
      <c r="M93" s="5">
        <v>1</v>
      </c>
      <c r="N93" s="6">
        <f t="shared" si="0"/>
        <v>0</v>
      </c>
      <c r="O93" s="4">
        <f t="shared" si="1"/>
        <v>0</v>
      </c>
      <c r="P93" s="4">
        <f t="shared" si="2"/>
        <v>0</v>
      </c>
      <c r="Q93" s="4">
        <f t="shared" si="3"/>
        <v>0</v>
      </c>
      <c r="R93" s="4">
        <f t="shared" si="4"/>
        <v>0</v>
      </c>
      <c r="S93" s="4">
        <f t="shared" si="5"/>
        <v>1.2749999999999999</v>
      </c>
    </row>
    <row r="94" spans="1:19">
      <c r="A94" s="7" t="s">
        <v>90</v>
      </c>
      <c r="B94" s="8">
        <v>1.2749999999999999</v>
      </c>
      <c r="C94" s="4"/>
      <c r="D94" s="4">
        <v>1</v>
      </c>
      <c r="E94" s="4"/>
      <c r="F94" s="4"/>
      <c r="G94" s="4"/>
      <c r="H94" s="4">
        <v>1</v>
      </c>
      <c r="I94" s="5"/>
      <c r="J94" s="5"/>
      <c r="K94" s="5">
        <v>1</v>
      </c>
      <c r="L94" s="5"/>
      <c r="M94" s="5"/>
      <c r="N94" s="6">
        <f t="shared" si="0"/>
        <v>0</v>
      </c>
      <c r="O94" s="4">
        <f t="shared" si="1"/>
        <v>0</v>
      </c>
      <c r="P94" s="4">
        <f t="shared" si="2"/>
        <v>0</v>
      </c>
      <c r="Q94" s="4">
        <f t="shared" si="3"/>
        <v>1.2749999999999999</v>
      </c>
      <c r="R94" s="4">
        <f t="shared" si="4"/>
        <v>0</v>
      </c>
      <c r="S94" s="4">
        <f t="shared" si="5"/>
        <v>0</v>
      </c>
    </row>
    <row r="95" spans="1:19">
      <c r="A95" s="3" t="s">
        <v>91</v>
      </c>
      <c r="B95" s="4">
        <v>1.2749999999999999</v>
      </c>
      <c r="C95" s="4"/>
      <c r="D95" s="4"/>
      <c r="E95" s="4"/>
      <c r="F95" s="4"/>
      <c r="G95" s="4"/>
      <c r="H95" s="4">
        <v>1</v>
      </c>
      <c r="I95" s="5"/>
      <c r="J95" s="5"/>
      <c r="K95" s="5"/>
      <c r="L95" s="5">
        <v>1</v>
      </c>
      <c r="M95" s="5"/>
      <c r="N95" s="6">
        <f t="shared" si="0"/>
        <v>0</v>
      </c>
      <c r="O95" s="4">
        <f t="shared" si="1"/>
        <v>0</v>
      </c>
      <c r="P95" s="4">
        <f t="shared" si="2"/>
        <v>0</v>
      </c>
      <c r="Q95" s="4">
        <f t="shared" si="3"/>
        <v>0</v>
      </c>
      <c r="R95" s="4">
        <f t="shared" si="4"/>
        <v>1.2749999999999999</v>
      </c>
      <c r="S95" s="4">
        <f t="shared" si="5"/>
        <v>0</v>
      </c>
    </row>
    <row r="96" spans="1:19">
      <c r="A96" s="3" t="s">
        <v>92</v>
      </c>
      <c r="B96" s="4">
        <f>5*1.275</f>
        <v>6.375</v>
      </c>
      <c r="C96" s="4"/>
      <c r="D96" s="4"/>
      <c r="E96" s="4"/>
      <c r="F96" s="4"/>
      <c r="G96" s="4"/>
      <c r="H96" s="4">
        <v>1</v>
      </c>
      <c r="I96" s="5"/>
      <c r="J96" s="5"/>
      <c r="K96" s="5"/>
      <c r="L96" s="5">
        <v>1</v>
      </c>
      <c r="M96" s="5"/>
      <c r="N96" s="6">
        <f t="shared" si="0"/>
        <v>0</v>
      </c>
      <c r="O96" s="4">
        <f t="shared" si="1"/>
        <v>0</v>
      </c>
      <c r="P96" s="4">
        <f t="shared" si="2"/>
        <v>0</v>
      </c>
      <c r="Q96" s="4">
        <f t="shared" si="3"/>
        <v>0</v>
      </c>
      <c r="R96" s="4">
        <f t="shared" si="4"/>
        <v>6.375</v>
      </c>
      <c r="S96" s="4">
        <f t="shared" si="5"/>
        <v>0</v>
      </c>
    </row>
    <row r="97" spans="1:19">
      <c r="A97" s="3" t="s">
        <v>93</v>
      </c>
      <c r="B97" s="4">
        <v>1.2749999999999999</v>
      </c>
      <c r="C97" s="4"/>
      <c r="D97" s="4">
        <v>1</v>
      </c>
      <c r="E97" s="4"/>
      <c r="F97" s="4"/>
      <c r="G97" s="4"/>
      <c r="H97" s="4">
        <v>1</v>
      </c>
      <c r="I97" s="5"/>
      <c r="J97" s="5"/>
      <c r="K97" s="5">
        <v>1</v>
      </c>
      <c r="L97" s="5"/>
      <c r="M97" s="5"/>
      <c r="N97" s="6">
        <f t="shared" si="0"/>
        <v>0</v>
      </c>
      <c r="O97" s="4">
        <f t="shared" si="1"/>
        <v>0</v>
      </c>
      <c r="P97" s="4">
        <f t="shared" si="2"/>
        <v>0</v>
      </c>
      <c r="Q97" s="4">
        <f t="shared" si="3"/>
        <v>1.2749999999999999</v>
      </c>
      <c r="R97" s="4">
        <f t="shared" si="4"/>
        <v>0</v>
      </c>
      <c r="S97" s="4">
        <f t="shared" si="5"/>
        <v>0</v>
      </c>
    </row>
    <row r="98" spans="1:19">
      <c r="A98" s="3" t="s">
        <v>94</v>
      </c>
      <c r="B98" s="4">
        <v>2.0699999999999998</v>
      </c>
      <c r="C98" s="4">
        <v>1</v>
      </c>
      <c r="D98" s="4"/>
      <c r="E98" s="4"/>
      <c r="F98" s="4"/>
      <c r="G98" s="4"/>
      <c r="H98" s="4">
        <v>1</v>
      </c>
      <c r="I98" s="5"/>
      <c r="J98" s="5"/>
      <c r="K98" s="5"/>
      <c r="L98" s="5">
        <v>1</v>
      </c>
      <c r="M98" s="5"/>
      <c r="N98" s="6">
        <f t="shared" si="0"/>
        <v>0</v>
      </c>
      <c r="O98" s="4">
        <f t="shared" si="1"/>
        <v>0</v>
      </c>
      <c r="P98" s="4">
        <f t="shared" si="2"/>
        <v>0</v>
      </c>
      <c r="Q98" s="4">
        <f t="shared" si="3"/>
        <v>0</v>
      </c>
      <c r="R98" s="4">
        <f t="shared" si="4"/>
        <v>2.0699999999999998</v>
      </c>
      <c r="S98" s="4">
        <f t="shared" si="5"/>
        <v>0</v>
      </c>
    </row>
    <row r="99" spans="1:19">
      <c r="A99" s="3" t="s">
        <v>95</v>
      </c>
      <c r="B99" s="4">
        <v>2.0699999999999998</v>
      </c>
      <c r="C99" s="4">
        <v>1</v>
      </c>
      <c r="D99" s="4"/>
      <c r="E99" s="4"/>
      <c r="F99" s="4"/>
      <c r="G99" s="4"/>
      <c r="H99" s="4">
        <v>1</v>
      </c>
      <c r="I99" s="5"/>
      <c r="J99" s="5"/>
      <c r="K99" s="5"/>
      <c r="L99" s="5">
        <v>1</v>
      </c>
      <c r="M99" s="5"/>
      <c r="N99" s="6">
        <f t="shared" si="0"/>
        <v>0</v>
      </c>
      <c r="O99" s="4">
        <f t="shared" si="1"/>
        <v>0</v>
      </c>
      <c r="P99" s="4">
        <f t="shared" si="2"/>
        <v>0</v>
      </c>
      <c r="Q99" s="4">
        <f t="shared" si="3"/>
        <v>0</v>
      </c>
      <c r="R99" s="4">
        <f t="shared" si="4"/>
        <v>2.0699999999999998</v>
      </c>
      <c r="S99" s="4">
        <f t="shared" si="5"/>
        <v>0</v>
      </c>
    </row>
    <row r="100" spans="1:19">
      <c r="A100" s="3" t="s">
        <v>96</v>
      </c>
      <c r="B100" s="4">
        <v>2.0699999999999998</v>
      </c>
      <c r="C100" s="4">
        <v>1</v>
      </c>
      <c r="D100" s="4"/>
      <c r="E100" s="4"/>
      <c r="F100" s="4"/>
      <c r="G100" s="4"/>
      <c r="H100" s="4">
        <v>1</v>
      </c>
      <c r="I100" s="5"/>
      <c r="J100" s="5"/>
      <c r="K100" s="5">
        <v>1</v>
      </c>
      <c r="L100" s="5"/>
      <c r="M100" s="5"/>
      <c r="N100" s="6">
        <f t="shared" si="0"/>
        <v>0</v>
      </c>
      <c r="O100" s="4">
        <f t="shared" si="1"/>
        <v>0</v>
      </c>
      <c r="P100" s="4">
        <f t="shared" si="2"/>
        <v>0</v>
      </c>
      <c r="Q100" s="4">
        <f t="shared" si="3"/>
        <v>2.0699999999999998</v>
      </c>
      <c r="R100" s="4">
        <f t="shared" si="4"/>
        <v>0</v>
      </c>
      <c r="S100" s="4">
        <f t="shared" si="5"/>
        <v>0</v>
      </c>
    </row>
    <row r="101" spans="1:19">
      <c r="A101" s="3" t="s">
        <v>97</v>
      </c>
      <c r="B101" s="4">
        <v>1.2749999999999999</v>
      </c>
      <c r="C101" s="4"/>
      <c r="D101" s="4">
        <v>1</v>
      </c>
      <c r="E101" s="4"/>
      <c r="F101" s="4"/>
      <c r="G101" s="4"/>
      <c r="H101" s="4">
        <v>1</v>
      </c>
      <c r="I101" s="5"/>
      <c r="J101" s="5">
        <v>1</v>
      </c>
      <c r="K101" s="5"/>
      <c r="L101" s="5"/>
      <c r="M101" s="5"/>
      <c r="N101" s="6">
        <f t="shared" si="0"/>
        <v>0</v>
      </c>
      <c r="O101" s="4">
        <f t="shared" si="1"/>
        <v>0</v>
      </c>
      <c r="P101" s="4">
        <f t="shared" si="2"/>
        <v>1.2749999999999999</v>
      </c>
      <c r="Q101" s="4">
        <f t="shared" si="3"/>
        <v>0</v>
      </c>
      <c r="R101" s="4">
        <f t="shared" si="4"/>
        <v>0</v>
      </c>
      <c r="S101" s="4">
        <f t="shared" si="5"/>
        <v>0</v>
      </c>
    </row>
    <row r="102" spans="1:19">
      <c r="A102" s="7" t="s">
        <v>98</v>
      </c>
      <c r="B102" s="4">
        <v>1.2749999999999999</v>
      </c>
      <c r="C102" s="4"/>
      <c r="D102" s="4">
        <v>2</v>
      </c>
      <c r="E102" s="4"/>
      <c r="F102" s="4"/>
      <c r="G102" s="4"/>
      <c r="H102" s="4">
        <v>1</v>
      </c>
      <c r="I102" s="5"/>
      <c r="J102" s="5"/>
      <c r="K102" s="5"/>
      <c r="L102" s="5"/>
      <c r="M102" s="5">
        <v>1</v>
      </c>
      <c r="N102" s="6">
        <f t="shared" si="0"/>
        <v>0</v>
      </c>
      <c r="O102" s="4">
        <f t="shared" si="1"/>
        <v>0</v>
      </c>
      <c r="P102" s="4">
        <f t="shared" si="2"/>
        <v>0</v>
      </c>
      <c r="Q102" s="4">
        <f t="shared" si="3"/>
        <v>0</v>
      </c>
      <c r="R102" s="4">
        <f t="shared" si="4"/>
        <v>0</v>
      </c>
      <c r="S102" s="4">
        <f t="shared" si="5"/>
        <v>1.2749999999999999</v>
      </c>
    </row>
    <row r="103" spans="1:19">
      <c r="A103" s="7" t="s">
        <v>99</v>
      </c>
      <c r="B103" s="4">
        <v>2.0699999999999998</v>
      </c>
      <c r="C103" s="4">
        <v>1</v>
      </c>
      <c r="D103" s="4"/>
      <c r="E103" s="4"/>
      <c r="F103" s="4"/>
      <c r="G103" s="4"/>
      <c r="H103" s="4">
        <v>1</v>
      </c>
      <c r="I103" s="5"/>
      <c r="J103" s="5"/>
      <c r="K103" s="5"/>
      <c r="L103" s="5"/>
      <c r="M103" s="5">
        <v>1</v>
      </c>
      <c r="N103" s="6">
        <f t="shared" si="0"/>
        <v>0</v>
      </c>
      <c r="O103" s="4">
        <f t="shared" si="1"/>
        <v>0</v>
      </c>
      <c r="P103" s="4">
        <f t="shared" si="2"/>
        <v>0</v>
      </c>
      <c r="Q103" s="4">
        <f t="shared" si="3"/>
        <v>0</v>
      </c>
      <c r="R103" s="4">
        <f t="shared" si="4"/>
        <v>0</v>
      </c>
      <c r="S103" s="4">
        <f t="shared" si="5"/>
        <v>2.0699999999999998</v>
      </c>
    </row>
    <row r="104" spans="1:19">
      <c r="A104" s="3" t="s">
        <v>100</v>
      </c>
      <c r="B104" s="4">
        <v>2.5499999999999998</v>
      </c>
      <c r="C104" s="4"/>
      <c r="D104" s="4">
        <v>2</v>
      </c>
      <c r="E104" s="4"/>
      <c r="F104" s="4"/>
      <c r="G104" s="4"/>
      <c r="H104" s="4">
        <v>1</v>
      </c>
      <c r="I104" s="5"/>
      <c r="J104" s="5">
        <v>1</v>
      </c>
      <c r="K104" s="5"/>
      <c r="L104" s="5"/>
      <c r="M104" s="5"/>
      <c r="N104" s="6">
        <f t="shared" si="0"/>
        <v>0</v>
      </c>
      <c r="O104" s="4">
        <f t="shared" si="1"/>
        <v>0</v>
      </c>
      <c r="P104" s="4">
        <f t="shared" si="2"/>
        <v>2.5499999999999998</v>
      </c>
      <c r="Q104" s="4">
        <f t="shared" si="3"/>
        <v>0</v>
      </c>
      <c r="R104" s="4">
        <f t="shared" si="4"/>
        <v>0</v>
      </c>
      <c r="S104" s="4">
        <f t="shared" si="5"/>
        <v>0</v>
      </c>
    </row>
    <row r="105" spans="1:19">
      <c r="A105" s="3" t="s">
        <v>101</v>
      </c>
      <c r="B105" s="4">
        <v>2.0699999999999998</v>
      </c>
      <c r="C105" s="4">
        <v>1</v>
      </c>
      <c r="D105" s="4"/>
      <c r="E105" s="4"/>
      <c r="F105" s="4"/>
      <c r="G105" s="4"/>
      <c r="H105" s="4">
        <v>1</v>
      </c>
      <c r="I105" s="5"/>
      <c r="J105" s="5">
        <v>1</v>
      </c>
      <c r="K105" s="5"/>
      <c r="L105" s="5"/>
      <c r="M105" s="5"/>
      <c r="N105" s="6">
        <f t="shared" si="0"/>
        <v>0</v>
      </c>
      <c r="O105" s="4">
        <f t="shared" si="1"/>
        <v>0</v>
      </c>
      <c r="P105" s="4">
        <f t="shared" si="2"/>
        <v>2.0699999999999998</v>
      </c>
      <c r="Q105" s="4">
        <f t="shared" si="3"/>
        <v>0</v>
      </c>
      <c r="R105" s="4">
        <f t="shared" si="4"/>
        <v>0</v>
      </c>
      <c r="S105" s="4">
        <f t="shared" si="5"/>
        <v>0</v>
      </c>
    </row>
    <row r="106" spans="1:19">
      <c r="A106" s="3" t="s">
        <v>102</v>
      </c>
      <c r="B106" s="4">
        <v>1.2749999999999999</v>
      </c>
      <c r="C106" s="4"/>
      <c r="D106" s="4">
        <v>1</v>
      </c>
      <c r="E106" s="4"/>
      <c r="F106" s="4"/>
      <c r="G106" s="4"/>
      <c r="H106" s="4">
        <v>1</v>
      </c>
      <c r="I106" s="5"/>
      <c r="J106" s="5"/>
      <c r="K106" s="5">
        <v>1</v>
      </c>
      <c r="L106" s="5"/>
      <c r="M106" s="5"/>
      <c r="N106" s="6">
        <f t="shared" si="0"/>
        <v>0</v>
      </c>
      <c r="O106" s="4">
        <f t="shared" si="1"/>
        <v>0</v>
      </c>
      <c r="P106" s="4">
        <f t="shared" si="2"/>
        <v>0</v>
      </c>
      <c r="Q106" s="4">
        <f t="shared" si="3"/>
        <v>1.2749999999999999</v>
      </c>
      <c r="R106" s="4">
        <f t="shared" si="4"/>
        <v>0</v>
      </c>
      <c r="S106" s="4">
        <f t="shared" si="5"/>
        <v>0</v>
      </c>
    </row>
    <row r="107" spans="1:19">
      <c r="A107" s="3" t="s">
        <v>103</v>
      </c>
      <c r="B107" s="4">
        <v>1.2749999999999999</v>
      </c>
      <c r="C107" s="4"/>
      <c r="D107" s="4">
        <v>1</v>
      </c>
      <c r="E107" s="4"/>
      <c r="F107" s="4"/>
      <c r="G107" s="4"/>
      <c r="H107" s="4">
        <v>1</v>
      </c>
      <c r="I107" s="5"/>
      <c r="J107" s="5">
        <v>1</v>
      </c>
      <c r="K107" s="5"/>
      <c r="L107" s="5"/>
      <c r="M107" s="5"/>
      <c r="N107" s="6">
        <f t="shared" si="0"/>
        <v>0</v>
      </c>
      <c r="O107" s="4">
        <f t="shared" si="1"/>
        <v>0</v>
      </c>
      <c r="P107" s="4">
        <f t="shared" si="2"/>
        <v>1.2749999999999999</v>
      </c>
      <c r="Q107" s="4">
        <f t="shared" si="3"/>
        <v>0</v>
      </c>
      <c r="R107" s="4">
        <f t="shared" si="4"/>
        <v>0</v>
      </c>
      <c r="S107" s="4">
        <f t="shared" si="5"/>
        <v>0</v>
      </c>
    </row>
    <row r="108" spans="1:19">
      <c r="A108" s="3" t="s">
        <v>104</v>
      </c>
      <c r="B108" s="4">
        <v>1.2749999999999999</v>
      </c>
      <c r="C108" s="4"/>
      <c r="D108" s="4">
        <v>1</v>
      </c>
      <c r="E108" s="4"/>
      <c r="F108" s="4"/>
      <c r="G108" s="4"/>
      <c r="H108" s="4">
        <v>1</v>
      </c>
      <c r="I108" s="5"/>
      <c r="J108" s="5"/>
      <c r="K108" s="5"/>
      <c r="L108" s="5">
        <v>1</v>
      </c>
      <c r="M108" s="5"/>
      <c r="N108" s="6">
        <f t="shared" si="0"/>
        <v>0</v>
      </c>
      <c r="O108" s="4">
        <f t="shared" si="1"/>
        <v>0</v>
      </c>
      <c r="P108" s="4">
        <f t="shared" si="2"/>
        <v>0</v>
      </c>
      <c r="Q108" s="4">
        <f t="shared" si="3"/>
        <v>0</v>
      </c>
      <c r="R108" s="4">
        <f t="shared" si="4"/>
        <v>1.2749999999999999</v>
      </c>
      <c r="S108" s="4">
        <f t="shared" si="5"/>
        <v>0</v>
      </c>
    </row>
    <row r="109" spans="1:19">
      <c r="A109" s="3" t="s">
        <v>105</v>
      </c>
      <c r="B109" s="4">
        <v>3.8249999999999997</v>
      </c>
      <c r="C109" s="4"/>
      <c r="D109" s="4">
        <v>3</v>
      </c>
      <c r="E109" s="4"/>
      <c r="F109" s="4"/>
      <c r="G109" s="4"/>
      <c r="H109" s="4">
        <v>1</v>
      </c>
      <c r="I109" s="5"/>
      <c r="J109" s="5">
        <v>1</v>
      </c>
      <c r="K109" s="5"/>
      <c r="L109" s="5"/>
      <c r="M109" s="5"/>
      <c r="N109" s="6">
        <f t="shared" si="0"/>
        <v>0</v>
      </c>
      <c r="O109" s="4">
        <f t="shared" si="1"/>
        <v>0</v>
      </c>
      <c r="P109" s="4">
        <f t="shared" si="2"/>
        <v>3.8249999999999997</v>
      </c>
      <c r="Q109" s="4">
        <f t="shared" si="3"/>
        <v>0</v>
      </c>
      <c r="R109" s="4">
        <f t="shared" si="4"/>
        <v>0</v>
      </c>
      <c r="S109" s="4">
        <f t="shared" si="5"/>
        <v>0</v>
      </c>
    </row>
    <row r="110" spans="1:19">
      <c r="A110" s="3" t="s">
        <v>106</v>
      </c>
      <c r="B110" s="4">
        <v>1.2749999999999999</v>
      </c>
      <c r="C110" s="4"/>
      <c r="D110" s="4">
        <v>1</v>
      </c>
      <c r="E110" s="4"/>
      <c r="F110" s="4"/>
      <c r="G110" s="4"/>
      <c r="H110" s="4">
        <v>1</v>
      </c>
      <c r="I110" s="5"/>
      <c r="J110" s="5"/>
      <c r="K110" s="5">
        <v>1</v>
      </c>
      <c r="L110" s="5"/>
      <c r="M110" s="5"/>
      <c r="N110" s="6">
        <f t="shared" si="0"/>
        <v>0</v>
      </c>
      <c r="O110" s="4">
        <f t="shared" si="1"/>
        <v>0</v>
      </c>
      <c r="P110" s="4">
        <f t="shared" si="2"/>
        <v>0</v>
      </c>
      <c r="Q110" s="4">
        <f t="shared" si="3"/>
        <v>1.2749999999999999</v>
      </c>
      <c r="R110" s="4">
        <f t="shared" si="4"/>
        <v>0</v>
      </c>
      <c r="S110" s="4">
        <f t="shared" si="5"/>
        <v>0</v>
      </c>
    </row>
    <row r="111" spans="1:19">
      <c r="A111" s="3" t="s">
        <v>107</v>
      </c>
      <c r="B111" s="4">
        <v>1.2749999999999999</v>
      </c>
      <c r="C111" s="4"/>
      <c r="D111" s="4">
        <v>1</v>
      </c>
      <c r="E111" s="4"/>
      <c r="F111" s="4"/>
      <c r="G111" s="4"/>
      <c r="H111" s="4">
        <v>1</v>
      </c>
      <c r="I111" s="5"/>
      <c r="J111" s="5"/>
      <c r="K111" s="5"/>
      <c r="L111" s="5">
        <v>1</v>
      </c>
      <c r="M111" s="5"/>
      <c r="N111" s="6">
        <f t="shared" si="0"/>
        <v>0</v>
      </c>
      <c r="O111" s="4">
        <f t="shared" si="1"/>
        <v>0</v>
      </c>
      <c r="P111" s="4">
        <f t="shared" si="2"/>
        <v>0</v>
      </c>
      <c r="Q111" s="4">
        <f t="shared" si="3"/>
        <v>0</v>
      </c>
      <c r="R111" s="4">
        <f t="shared" si="4"/>
        <v>1.2749999999999999</v>
      </c>
      <c r="S111" s="4">
        <f t="shared" si="5"/>
        <v>0</v>
      </c>
    </row>
    <row r="112" spans="1:19">
      <c r="A112" s="3" t="s">
        <v>108</v>
      </c>
      <c r="B112" s="4">
        <v>2.7</v>
      </c>
      <c r="C112" s="4">
        <v>1</v>
      </c>
      <c r="D112" s="4"/>
      <c r="E112" s="4"/>
      <c r="F112" s="4"/>
      <c r="G112" s="4"/>
      <c r="H112" s="4">
        <v>1</v>
      </c>
      <c r="I112" s="5"/>
      <c r="J112" s="5">
        <v>1</v>
      </c>
      <c r="K112" s="5"/>
      <c r="L112" s="5"/>
      <c r="M112" s="5"/>
      <c r="N112" s="6">
        <f t="shared" si="0"/>
        <v>0</v>
      </c>
      <c r="O112" s="4">
        <f t="shared" si="1"/>
        <v>0</v>
      </c>
      <c r="P112" s="4">
        <f t="shared" si="2"/>
        <v>2.7</v>
      </c>
      <c r="Q112" s="4">
        <f t="shared" si="3"/>
        <v>0</v>
      </c>
      <c r="R112" s="4">
        <f t="shared" si="4"/>
        <v>0</v>
      </c>
      <c r="S112" s="4">
        <f t="shared" si="5"/>
        <v>0</v>
      </c>
    </row>
    <row r="113" spans="1:19">
      <c r="A113" s="3"/>
      <c r="B113" s="4"/>
      <c r="C113" s="4"/>
      <c r="D113" s="4"/>
      <c r="E113" s="4"/>
      <c r="F113" s="4"/>
      <c r="G113" s="4"/>
      <c r="H113" s="4"/>
      <c r="I113" s="5"/>
      <c r="J113" s="5"/>
      <c r="K113" s="5"/>
      <c r="L113" s="5"/>
      <c r="M113" s="5"/>
      <c r="N113" s="6"/>
      <c r="O113" s="4"/>
      <c r="P113" s="4"/>
      <c r="Q113" s="4"/>
      <c r="R113" s="4"/>
      <c r="S113" s="4"/>
    </row>
    <row r="114" spans="1:19">
      <c r="A114" s="3"/>
      <c r="B114" s="4"/>
      <c r="C114" s="4"/>
      <c r="D114" s="4"/>
      <c r="E114" s="4"/>
      <c r="F114" s="4"/>
      <c r="G114" s="4"/>
      <c r="H114" s="4"/>
      <c r="I114" s="5"/>
      <c r="J114" s="5"/>
      <c r="K114" s="5"/>
      <c r="L114" s="5"/>
      <c r="M114" s="5"/>
      <c r="N114" s="6"/>
      <c r="O114" s="4"/>
      <c r="P114" s="4"/>
      <c r="Q114" s="4"/>
      <c r="R114" s="4"/>
      <c r="S114" s="4"/>
    </row>
    <row r="115" spans="1:19">
      <c r="A115" s="7" t="s">
        <v>109</v>
      </c>
      <c r="B115" s="4">
        <v>2.0699999999999998</v>
      </c>
      <c r="C115" s="4">
        <v>1</v>
      </c>
      <c r="D115" s="4"/>
      <c r="E115" s="4"/>
      <c r="F115" s="4"/>
      <c r="G115" s="4"/>
      <c r="H115" s="4">
        <v>1</v>
      </c>
      <c r="I115" s="5"/>
      <c r="J115" s="5"/>
      <c r="K115" s="5"/>
      <c r="L115" s="5"/>
      <c r="M115" s="5">
        <v>1</v>
      </c>
      <c r="N115" s="6">
        <f t="shared" si="0"/>
        <v>0</v>
      </c>
      <c r="O115" s="4">
        <f t="shared" si="1"/>
        <v>0</v>
      </c>
      <c r="P115" s="4">
        <f t="shared" si="2"/>
        <v>0</v>
      </c>
      <c r="Q115" s="4">
        <f t="shared" si="3"/>
        <v>0</v>
      </c>
      <c r="R115" s="4">
        <f t="shared" si="4"/>
        <v>0</v>
      </c>
      <c r="S115" s="4">
        <f t="shared" si="5"/>
        <v>2.0699999999999998</v>
      </c>
    </row>
    <row r="116" spans="1:19">
      <c r="A116" s="3" t="s">
        <v>110</v>
      </c>
      <c r="B116" s="4">
        <v>1.2749999999999999</v>
      </c>
      <c r="C116" s="4"/>
      <c r="D116" s="4">
        <v>1</v>
      </c>
      <c r="E116" s="4"/>
      <c r="F116" s="4"/>
      <c r="G116" s="4"/>
      <c r="H116" s="4">
        <v>1</v>
      </c>
      <c r="I116" s="5"/>
      <c r="J116" s="5"/>
      <c r="K116" s="5"/>
      <c r="L116" s="5">
        <v>1</v>
      </c>
      <c r="M116" s="5"/>
      <c r="N116" s="6">
        <f t="shared" si="0"/>
        <v>0</v>
      </c>
      <c r="O116" s="4">
        <f t="shared" si="1"/>
        <v>0</v>
      </c>
      <c r="P116" s="4">
        <f t="shared" si="2"/>
        <v>0</v>
      </c>
      <c r="Q116" s="4">
        <f t="shared" si="3"/>
        <v>0</v>
      </c>
      <c r="R116" s="4">
        <f t="shared" si="4"/>
        <v>1.2749999999999999</v>
      </c>
      <c r="S116" s="4">
        <f t="shared" si="5"/>
        <v>0</v>
      </c>
    </row>
    <row r="117" spans="1:19">
      <c r="A117" s="7" t="s">
        <v>111</v>
      </c>
      <c r="B117" s="8">
        <v>1.2749999999999999</v>
      </c>
      <c r="C117" s="4"/>
      <c r="D117" s="4">
        <v>1</v>
      </c>
      <c r="E117" s="4"/>
      <c r="F117" s="4"/>
      <c r="G117" s="4"/>
      <c r="H117" s="4">
        <v>1</v>
      </c>
      <c r="I117" s="5"/>
      <c r="J117" s="5"/>
      <c r="K117" s="5">
        <v>1</v>
      </c>
      <c r="L117" s="5"/>
      <c r="M117" s="5"/>
      <c r="N117" s="6">
        <f t="shared" si="0"/>
        <v>0</v>
      </c>
      <c r="O117" s="4">
        <f t="shared" si="1"/>
        <v>0</v>
      </c>
      <c r="P117" s="4">
        <f t="shared" si="2"/>
        <v>0</v>
      </c>
      <c r="Q117" s="4">
        <f t="shared" si="3"/>
        <v>1.2749999999999999</v>
      </c>
      <c r="R117" s="4">
        <f t="shared" si="4"/>
        <v>0</v>
      </c>
      <c r="S117" s="4">
        <f t="shared" si="5"/>
        <v>0</v>
      </c>
    </row>
    <row r="118" spans="1:19">
      <c r="A118" s="7" t="s">
        <v>112</v>
      </c>
      <c r="B118" s="8">
        <v>3.8249999999999997</v>
      </c>
      <c r="C118" s="4"/>
      <c r="D118" s="4">
        <v>3</v>
      </c>
      <c r="E118" s="4"/>
      <c r="F118" s="4"/>
      <c r="G118" s="4"/>
      <c r="H118" s="4">
        <v>1</v>
      </c>
      <c r="I118" s="5"/>
      <c r="J118" s="5">
        <v>1</v>
      </c>
      <c r="K118" s="5"/>
      <c r="L118" s="5"/>
      <c r="M118" s="5"/>
      <c r="N118" s="6">
        <f t="shared" si="0"/>
        <v>0</v>
      </c>
      <c r="O118" s="4">
        <f t="shared" si="1"/>
        <v>0</v>
      </c>
      <c r="P118" s="4">
        <f t="shared" si="2"/>
        <v>3.8249999999999997</v>
      </c>
      <c r="Q118" s="4">
        <f t="shared" si="3"/>
        <v>0</v>
      </c>
      <c r="R118" s="4">
        <f t="shared" si="4"/>
        <v>0</v>
      </c>
      <c r="S118" s="4">
        <f t="shared" si="5"/>
        <v>0</v>
      </c>
    </row>
    <row r="119" spans="1:19">
      <c r="A119" s="3"/>
      <c r="B119" s="4"/>
      <c r="C119" s="4"/>
      <c r="D119" s="4"/>
      <c r="E119" s="4"/>
      <c r="F119" s="4"/>
      <c r="G119" s="4"/>
      <c r="H119" s="4"/>
      <c r="I119" s="5"/>
      <c r="J119" s="5"/>
      <c r="K119" s="5"/>
      <c r="L119" s="5"/>
      <c r="M119" s="5"/>
      <c r="N119" s="6"/>
      <c r="O119" s="4"/>
      <c r="P119" s="4"/>
      <c r="Q119" s="4"/>
      <c r="R119" s="4"/>
      <c r="S119" s="4"/>
    </row>
    <row r="120" spans="1:19">
      <c r="A120" s="7" t="s">
        <v>113</v>
      </c>
      <c r="B120" s="4">
        <v>4.1399999999999997</v>
      </c>
      <c r="C120" s="4">
        <v>2</v>
      </c>
      <c r="D120" s="4"/>
      <c r="E120" s="4"/>
      <c r="F120" s="4"/>
      <c r="G120" s="4"/>
      <c r="H120" s="4">
        <v>1</v>
      </c>
      <c r="I120" s="5"/>
      <c r="J120" s="5"/>
      <c r="K120" s="5"/>
      <c r="L120" s="5">
        <v>1</v>
      </c>
      <c r="M120" s="5"/>
      <c r="N120" s="6">
        <f t="shared" si="0"/>
        <v>0</v>
      </c>
      <c r="O120" s="4">
        <f t="shared" si="1"/>
        <v>0</v>
      </c>
      <c r="P120" s="4">
        <f t="shared" si="2"/>
        <v>0</v>
      </c>
      <c r="Q120" s="4">
        <f t="shared" si="3"/>
        <v>0</v>
      </c>
      <c r="R120" s="4">
        <f t="shared" si="4"/>
        <v>4.1399999999999997</v>
      </c>
      <c r="S120" s="4">
        <f t="shared" si="5"/>
        <v>0</v>
      </c>
    </row>
    <row r="121" spans="1:19">
      <c r="A121" s="3" t="s">
        <v>114</v>
      </c>
      <c r="B121" s="4">
        <v>6.2099999999999991</v>
      </c>
      <c r="C121" s="4">
        <v>3</v>
      </c>
      <c r="D121" s="4"/>
      <c r="E121" s="4"/>
      <c r="F121" s="4"/>
      <c r="G121" s="4"/>
      <c r="H121" s="4">
        <v>1</v>
      </c>
      <c r="I121" s="5"/>
      <c r="J121" s="5"/>
      <c r="K121" s="5">
        <v>1</v>
      </c>
      <c r="L121" s="5"/>
      <c r="M121" s="5"/>
      <c r="N121" s="6">
        <f t="shared" si="0"/>
        <v>0</v>
      </c>
      <c r="O121" s="4">
        <f t="shared" si="1"/>
        <v>0</v>
      </c>
      <c r="P121" s="4">
        <f t="shared" si="2"/>
        <v>0</v>
      </c>
      <c r="Q121" s="4">
        <f t="shared" si="3"/>
        <v>6.2099999999999991</v>
      </c>
      <c r="R121" s="4">
        <f t="shared" si="4"/>
        <v>0</v>
      </c>
      <c r="S121" s="4">
        <f t="shared" si="5"/>
        <v>0</v>
      </c>
    </row>
    <row r="122" spans="1:19">
      <c r="A122" s="3" t="s">
        <v>115</v>
      </c>
      <c r="B122" s="4">
        <v>1.2749999999999999</v>
      </c>
      <c r="C122" s="4"/>
      <c r="D122" s="4">
        <v>1</v>
      </c>
      <c r="E122" s="4"/>
      <c r="F122" s="4"/>
      <c r="G122" s="4"/>
      <c r="H122" s="4">
        <v>1</v>
      </c>
      <c r="I122" s="5"/>
      <c r="J122" s="5">
        <v>1</v>
      </c>
      <c r="K122" s="5"/>
      <c r="L122" s="5"/>
      <c r="M122" s="5"/>
      <c r="N122" s="6">
        <f t="shared" si="0"/>
        <v>0</v>
      </c>
      <c r="O122" s="4">
        <f t="shared" si="1"/>
        <v>0</v>
      </c>
      <c r="P122" s="4">
        <f t="shared" si="2"/>
        <v>1.2749999999999999</v>
      </c>
      <c r="Q122" s="4">
        <f t="shared" si="3"/>
        <v>0</v>
      </c>
      <c r="R122" s="4">
        <f t="shared" si="4"/>
        <v>0</v>
      </c>
      <c r="S122" s="4">
        <f t="shared" si="5"/>
        <v>0</v>
      </c>
    </row>
    <row r="123" spans="1:19">
      <c r="A123" s="3" t="s">
        <v>116</v>
      </c>
      <c r="B123" s="4">
        <v>3.3449999999999998</v>
      </c>
      <c r="C123" s="4">
        <v>1</v>
      </c>
      <c r="D123" s="4">
        <v>1</v>
      </c>
      <c r="E123" s="4"/>
      <c r="F123" s="4"/>
      <c r="G123" s="4"/>
      <c r="H123" s="4">
        <v>1</v>
      </c>
      <c r="I123" s="5"/>
      <c r="J123" s="5">
        <v>1</v>
      </c>
      <c r="K123" s="5"/>
      <c r="L123" s="5"/>
      <c r="M123" s="5"/>
      <c r="N123" s="6">
        <f t="shared" si="0"/>
        <v>0</v>
      </c>
      <c r="O123" s="4">
        <f t="shared" si="1"/>
        <v>0</v>
      </c>
      <c r="P123" s="4">
        <f t="shared" si="2"/>
        <v>3.3449999999999998</v>
      </c>
      <c r="Q123" s="4">
        <f t="shared" si="3"/>
        <v>0</v>
      </c>
      <c r="R123" s="4">
        <f t="shared" si="4"/>
        <v>0</v>
      </c>
      <c r="S123" s="4">
        <f t="shared" si="5"/>
        <v>0</v>
      </c>
    </row>
    <row r="124" spans="1:19">
      <c r="A124" s="3" t="s">
        <v>117</v>
      </c>
      <c r="B124" s="4">
        <v>1.2749999999999999</v>
      </c>
      <c r="C124" s="4"/>
      <c r="D124" s="4">
        <v>1</v>
      </c>
      <c r="E124" s="4"/>
      <c r="F124" s="4"/>
      <c r="G124" s="4"/>
      <c r="H124" s="4">
        <v>1</v>
      </c>
      <c r="I124" s="5"/>
      <c r="J124" s="5"/>
      <c r="K124" s="5"/>
      <c r="L124" s="5">
        <v>1</v>
      </c>
      <c r="M124" s="5"/>
      <c r="N124" s="6">
        <f t="shared" si="0"/>
        <v>0</v>
      </c>
      <c r="O124" s="4">
        <f t="shared" si="1"/>
        <v>0</v>
      </c>
      <c r="P124" s="4">
        <f t="shared" si="2"/>
        <v>0</v>
      </c>
      <c r="Q124" s="4">
        <f t="shared" si="3"/>
        <v>0</v>
      </c>
      <c r="R124" s="4">
        <f t="shared" si="4"/>
        <v>1.2749999999999999</v>
      </c>
      <c r="S124" s="4">
        <f t="shared" si="5"/>
        <v>0</v>
      </c>
    </row>
    <row r="125" spans="1:19">
      <c r="A125" s="3" t="s">
        <v>118</v>
      </c>
      <c r="B125" s="4">
        <v>2.5499999999999998</v>
      </c>
      <c r="C125" s="4"/>
      <c r="D125" s="4">
        <v>2</v>
      </c>
      <c r="E125" s="4"/>
      <c r="F125" s="4"/>
      <c r="G125" s="4"/>
      <c r="H125" s="4">
        <v>1</v>
      </c>
      <c r="I125" s="5"/>
      <c r="J125" s="5">
        <v>1</v>
      </c>
      <c r="K125" s="5"/>
      <c r="L125" s="5"/>
      <c r="M125" s="5"/>
      <c r="N125" s="6">
        <f t="shared" si="0"/>
        <v>0</v>
      </c>
      <c r="O125" s="4">
        <f t="shared" si="1"/>
        <v>0</v>
      </c>
      <c r="P125" s="4">
        <f t="shared" si="2"/>
        <v>2.5499999999999998</v>
      </c>
      <c r="Q125" s="4">
        <f t="shared" si="3"/>
        <v>0</v>
      </c>
      <c r="R125" s="4">
        <f t="shared" si="4"/>
        <v>0</v>
      </c>
      <c r="S125" s="4">
        <f t="shared" si="5"/>
        <v>0</v>
      </c>
    </row>
    <row r="126" spans="1:19">
      <c r="A126" s="7" t="s">
        <v>119</v>
      </c>
      <c r="B126" s="8">
        <v>4.1399999999999997</v>
      </c>
      <c r="C126" s="4">
        <v>2</v>
      </c>
      <c r="D126" s="4"/>
      <c r="E126" s="4"/>
      <c r="F126" s="4"/>
      <c r="G126" s="4"/>
      <c r="H126" s="4">
        <v>1</v>
      </c>
      <c r="I126" s="5"/>
      <c r="J126" s="5">
        <v>1</v>
      </c>
      <c r="K126" s="5"/>
      <c r="L126" s="5"/>
      <c r="M126" s="5"/>
      <c r="N126" s="6">
        <f t="shared" si="0"/>
        <v>0</v>
      </c>
      <c r="O126" s="4">
        <f t="shared" si="1"/>
        <v>0</v>
      </c>
      <c r="P126" s="4">
        <f t="shared" si="2"/>
        <v>4.1399999999999997</v>
      </c>
      <c r="Q126" s="4">
        <f t="shared" si="3"/>
        <v>0</v>
      </c>
      <c r="R126" s="4">
        <f t="shared" si="4"/>
        <v>0</v>
      </c>
      <c r="S126" s="4">
        <f t="shared" si="5"/>
        <v>0</v>
      </c>
    </row>
    <row r="127" spans="1:19">
      <c r="A127" s="7" t="s">
        <v>120</v>
      </c>
      <c r="B127" s="8">
        <v>1.2749999999999999</v>
      </c>
      <c r="C127" s="4"/>
      <c r="D127" s="4">
        <v>1</v>
      </c>
      <c r="E127" s="4"/>
      <c r="F127" s="4"/>
      <c r="G127" s="4"/>
      <c r="H127" s="4">
        <v>1</v>
      </c>
      <c r="I127" s="5"/>
      <c r="J127" s="5"/>
      <c r="K127" s="5">
        <v>1</v>
      </c>
      <c r="L127" s="5"/>
      <c r="M127" s="5"/>
      <c r="N127" s="6">
        <f t="shared" si="0"/>
        <v>0</v>
      </c>
      <c r="O127" s="4">
        <f t="shared" si="1"/>
        <v>0</v>
      </c>
      <c r="P127" s="4">
        <f t="shared" si="2"/>
        <v>0</v>
      </c>
      <c r="Q127" s="4">
        <f t="shared" si="3"/>
        <v>1.2749999999999999</v>
      </c>
      <c r="R127" s="4">
        <f t="shared" si="4"/>
        <v>0</v>
      </c>
      <c r="S127" s="4">
        <f t="shared" si="5"/>
        <v>0</v>
      </c>
    </row>
    <row r="128" spans="1:19">
      <c r="A128" s="3" t="s">
        <v>121</v>
      </c>
      <c r="B128" s="4">
        <v>2.0699999999999998</v>
      </c>
      <c r="C128" s="4">
        <v>1</v>
      </c>
      <c r="D128" s="4"/>
      <c r="E128" s="4"/>
      <c r="F128" s="4"/>
      <c r="G128" s="4"/>
      <c r="H128" s="4">
        <v>1</v>
      </c>
      <c r="I128" s="5"/>
      <c r="J128" s="5">
        <v>1</v>
      </c>
      <c r="K128" s="5"/>
      <c r="L128" s="5"/>
      <c r="M128" s="5"/>
      <c r="N128" s="6">
        <f t="shared" si="0"/>
        <v>0</v>
      </c>
      <c r="O128" s="4">
        <f t="shared" si="1"/>
        <v>0</v>
      </c>
      <c r="P128" s="4">
        <f t="shared" si="2"/>
        <v>2.0699999999999998</v>
      </c>
      <c r="Q128" s="4">
        <f t="shared" si="3"/>
        <v>0</v>
      </c>
      <c r="R128" s="4">
        <f t="shared" si="4"/>
        <v>0</v>
      </c>
      <c r="S128" s="4">
        <f t="shared" si="5"/>
        <v>0</v>
      </c>
    </row>
    <row r="129" spans="1:19">
      <c r="A129" s="7" t="s">
        <v>122</v>
      </c>
      <c r="B129" s="4">
        <v>2.0699999999999998</v>
      </c>
      <c r="C129" s="4">
        <v>1</v>
      </c>
      <c r="D129" s="4"/>
      <c r="E129" s="4"/>
      <c r="F129" s="4"/>
      <c r="G129" s="4"/>
      <c r="H129" s="4">
        <v>1</v>
      </c>
      <c r="I129" s="5"/>
      <c r="J129" s="5"/>
      <c r="K129" s="5"/>
      <c r="L129" s="5">
        <v>1</v>
      </c>
      <c r="M129" s="5"/>
      <c r="N129" s="6">
        <f t="shared" si="0"/>
        <v>0</v>
      </c>
      <c r="O129" s="4">
        <f t="shared" si="1"/>
        <v>0</v>
      </c>
      <c r="P129" s="4">
        <f t="shared" si="2"/>
        <v>0</v>
      </c>
      <c r="Q129" s="4">
        <f t="shared" si="3"/>
        <v>0</v>
      </c>
      <c r="R129" s="4">
        <f t="shared" si="4"/>
        <v>2.0699999999999998</v>
      </c>
      <c r="S129" s="4">
        <f t="shared" si="5"/>
        <v>0</v>
      </c>
    </row>
    <row r="130" spans="1:19">
      <c r="A130" s="3" t="s">
        <v>123</v>
      </c>
      <c r="B130" s="4">
        <v>2.5499999999999998</v>
      </c>
      <c r="C130" s="4"/>
      <c r="D130" s="4">
        <v>2</v>
      </c>
      <c r="E130" s="4"/>
      <c r="F130" s="4"/>
      <c r="G130" s="4"/>
      <c r="H130" s="4">
        <v>1</v>
      </c>
      <c r="I130" s="5"/>
      <c r="J130" s="5">
        <v>1</v>
      </c>
      <c r="K130" s="5"/>
      <c r="L130" s="5"/>
      <c r="M130" s="5"/>
      <c r="N130" s="6">
        <f t="shared" si="0"/>
        <v>0</v>
      </c>
      <c r="O130" s="4">
        <f t="shared" si="1"/>
        <v>0</v>
      </c>
      <c r="P130" s="4">
        <f t="shared" si="2"/>
        <v>2.5499999999999998</v>
      </c>
      <c r="Q130" s="4">
        <f t="shared" si="3"/>
        <v>0</v>
      </c>
      <c r="R130" s="4">
        <f t="shared" si="4"/>
        <v>0</v>
      </c>
      <c r="S130" s="4">
        <f t="shared" si="5"/>
        <v>0</v>
      </c>
    </row>
    <row r="131" spans="1:19">
      <c r="A131" s="7" t="s">
        <v>124</v>
      </c>
      <c r="B131" s="8">
        <v>1.2749999999999999</v>
      </c>
      <c r="C131" s="4"/>
      <c r="D131" s="4">
        <v>1</v>
      </c>
      <c r="E131" s="4"/>
      <c r="F131" s="4"/>
      <c r="G131" s="4"/>
      <c r="H131" s="4">
        <v>1</v>
      </c>
      <c r="I131" s="5"/>
      <c r="J131" s="5"/>
      <c r="K131" s="5">
        <v>1</v>
      </c>
      <c r="L131" s="5"/>
      <c r="M131" s="5"/>
      <c r="N131" s="6">
        <f t="shared" si="0"/>
        <v>0</v>
      </c>
      <c r="O131" s="4">
        <f t="shared" si="1"/>
        <v>0</v>
      </c>
      <c r="P131" s="4">
        <f t="shared" si="2"/>
        <v>0</v>
      </c>
      <c r="Q131" s="4">
        <f t="shared" si="3"/>
        <v>1.2749999999999999</v>
      </c>
      <c r="R131" s="4">
        <f t="shared" si="4"/>
        <v>0</v>
      </c>
      <c r="S131" s="4">
        <f t="shared" si="5"/>
        <v>0</v>
      </c>
    </row>
    <row r="132" spans="1:19">
      <c r="A132" s="7" t="s">
        <v>125</v>
      </c>
      <c r="B132" s="4">
        <v>2.0699999999999998</v>
      </c>
      <c r="C132" s="4">
        <v>1</v>
      </c>
      <c r="D132" s="4"/>
      <c r="E132" s="4"/>
      <c r="F132" s="4"/>
      <c r="G132" s="4"/>
      <c r="H132" s="4">
        <v>1</v>
      </c>
      <c r="I132" s="5"/>
      <c r="J132" s="5"/>
      <c r="K132" s="5"/>
      <c r="L132" s="5">
        <v>1</v>
      </c>
      <c r="M132" s="5"/>
      <c r="N132" s="6">
        <f t="shared" si="0"/>
        <v>0</v>
      </c>
      <c r="O132" s="4">
        <f t="shared" si="1"/>
        <v>0</v>
      </c>
      <c r="P132" s="4">
        <f t="shared" si="2"/>
        <v>0</v>
      </c>
      <c r="Q132" s="4">
        <f t="shared" si="3"/>
        <v>0</v>
      </c>
      <c r="R132" s="4">
        <f t="shared" si="4"/>
        <v>2.0699999999999998</v>
      </c>
      <c r="S132" s="4">
        <f t="shared" si="5"/>
        <v>0</v>
      </c>
    </row>
    <row r="133" spans="1:19">
      <c r="A133" s="7" t="s">
        <v>126</v>
      </c>
      <c r="B133" s="8">
        <v>2.0699999999999998</v>
      </c>
      <c r="C133" s="4">
        <v>1</v>
      </c>
      <c r="D133" s="4"/>
      <c r="E133" s="4"/>
      <c r="F133" s="4"/>
      <c r="G133" s="4"/>
      <c r="H133" s="4">
        <v>1</v>
      </c>
      <c r="I133" s="5"/>
      <c r="J133" s="5">
        <v>1</v>
      </c>
      <c r="K133" s="5"/>
      <c r="L133" s="5"/>
      <c r="M133" s="5"/>
      <c r="N133" s="6">
        <f t="shared" si="0"/>
        <v>0</v>
      </c>
      <c r="O133" s="4">
        <f t="shared" si="1"/>
        <v>0</v>
      </c>
      <c r="P133" s="4">
        <f t="shared" si="2"/>
        <v>2.0699999999999998</v>
      </c>
      <c r="Q133" s="4">
        <f t="shared" si="3"/>
        <v>0</v>
      </c>
      <c r="R133" s="4">
        <f t="shared" si="4"/>
        <v>0</v>
      </c>
      <c r="S133" s="4">
        <f t="shared" si="5"/>
        <v>0</v>
      </c>
    </row>
    <row r="134" spans="1:19">
      <c r="A134" s="7" t="s">
        <v>127</v>
      </c>
      <c r="B134" s="8">
        <v>2.0699999999999998</v>
      </c>
      <c r="C134" s="4">
        <v>1</v>
      </c>
      <c r="D134" s="4"/>
      <c r="E134" s="4"/>
      <c r="F134" s="4"/>
      <c r="G134" s="4"/>
      <c r="H134" s="4">
        <v>1</v>
      </c>
      <c r="I134" s="5"/>
      <c r="J134" s="5">
        <v>1</v>
      </c>
      <c r="K134" s="5"/>
      <c r="L134" s="5"/>
      <c r="M134" s="5"/>
      <c r="N134" s="6">
        <f t="shared" si="0"/>
        <v>0</v>
      </c>
      <c r="O134" s="4">
        <f t="shared" si="1"/>
        <v>0</v>
      </c>
      <c r="P134" s="4">
        <f t="shared" si="2"/>
        <v>2.0699999999999998</v>
      </c>
      <c r="Q134" s="4">
        <f t="shared" si="3"/>
        <v>0</v>
      </c>
      <c r="R134" s="4">
        <f t="shared" si="4"/>
        <v>0</v>
      </c>
      <c r="S134" s="4">
        <f t="shared" si="5"/>
        <v>0</v>
      </c>
    </row>
    <row r="135" spans="1:19">
      <c r="A135" s="3"/>
      <c r="B135" s="4"/>
      <c r="C135" s="4"/>
      <c r="D135" s="4"/>
      <c r="E135" s="4"/>
      <c r="F135" s="4"/>
      <c r="G135" s="4"/>
      <c r="H135" s="4"/>
      <c r="I135" s="5"/>
      <c r="J135" s="5"/>
      <c r="K135" s="5"/>
      <c r="L135" s="5"/>
      <c r="M135" s="5"/>
      <c r="N135" s="6"/>
      <c r="O135" s="4"/>
      <c r="P135" s="4"/>
      <c r="Q135" s="4"/>
      <c r="R135" s="4"/>
      <c r="S135" s="4"/>
    </row>
    <row r="136" spans="1:19">
      <c r="A136" s="3" t="s">
        <v>128</v>
      </c>
      <c r="B136" s="4">
        <v>3.8249999999999997</v>
      </c>
      <c r="C136" s="4"/>
      <c r="D136" s="4">
        <v>3</v>
      </c>
      <c r="E136" s="4"/>
      <c r="F136" s="4"/>
      <c r="G136" s="4"/>
      <c r="H136" s="4">
        <v>1</v>
      </c>
      <c r="I136" s="5"/>
      <c r="J136" s="5">
        <v>1</v>
      </c>
      <c r="K136" s="5"/>
      <c r="L136" s="5"/>
      <c r="M136" s="5"/>
      <c r="N136" s="6">
        <f t="shared" si="0"/>
        <v>0</v>
      </c>
      <c r="O136" s="4">
        <f t="shared" si="1"/>
        <v>0</v>
      </c>
      <c r="P136" s="4">
        <f t="shared" si="2"/>
        <v>3.8249999999999997</v>
      </c>
      <c r="Q136" s="4">
        <f t="shared" si="3"/>
        <v>0</v>
      </c>
      <c r="R136" s="4">
        <f t="shared" si="4"/>
        <v>0</v>
      </c>
      <c r="S136" s="4">
        <f t="shared" si="5"/>
        <v>0</v>
      </c>
    </row>
    <row r="137" spans="1:19">
      <c r="A137" s="3" t="s">
        <v>129</v>
      </c>
      <c r="B137" s="4">
        <v>1.2749999999999999</v>
      </c>
      <c r="C137" s="4"/>
      <c r="D137" s="4">
        <v>1</v>
      </c>
      <c r="E137" s="4"/>
      <c r="F137" s="4"/>
      <c r="G137" s="4"/>
      <c r="H137" s="4">
        <v>1</v>
      </c>
      <c r="I137" s="5"/>
      <c r="J137" s="5"/>
      <c r="K137" s="5">
        <v>1</v>
      </c>
      <c r="L137" s="5"/>
      <c r="M137" s="5"/>
      <c r="N137" s="6">
        <f t="shared" si="0"/>
        <v>0</v>
      </c>
      <c r="O137" s="4">
        <f t="shared" si="1"/>
        <v>0</v>
      </c>
      <c r="P137" s="4">
        <f t="shared" si="2"/>
        <v>0</v>
      </c>
      <c r="Q137" s="4">
        <f t="shared" si="3"/>
        <v>1.2749999999999999</v>
      </c>
      <c r="R137" s="4">
        <f t="shared" si="4"/>
        <v>0</v>
      </c>
      <c r="S137" s="4">
        <f t="shared" si="5"/>
        <v>0</v>
      </c>
    </row>
    <row r="138" spans="1:19">
      <c r="A138" s="3"/>
      <c r="B138" s="4"/>
      <c r="C138" s="4"/>
      <c r="D138" s="4"/>
      <c r="E138" s="4"/>
      <c r="F138" s="4"/>
      <c r="G138" s="4"/>
      <c r="H138" s="4"/>
      <c r="I138" s="5"/>
      <c r="J138" s="5"/>
      <c r="K138" s="5"/>
      <c r="L138" s="5"/>
      <c r="M138" s="5"/>
      <c r="N138" s="6"/>
      <c r="O138" s="4"/>
      <c r="P138" s="4"/>
      <c r="Q138" s="4"/>
      <c r="R138" s="4"/>
      <c r="S138" s="4"/>
    </row>
    <row r="139" spans="1:19">
      <c r="A139" s="7" t="s">
        <v>130</v>
      </c>
      <c r="B139" s="4">
        <v>2.0699999999999998</v>
      </c>
      <c r="C139" s="4">
        <v>1</v>
      </c>
      <c r="D139" s="4"/>
      <c r="E139" s="4"/>
      <c r="F139" s="4"/>
      <c r="G139" s="4"/>
      <c r="H139" s="4">
        <v>1</v>
      </c>
      <c r="I139" s="5"/>
      <c r="J139" s="5"/>
      <c r="K139" s="5"/>
      <c r="L139" s="5">
        <v>1</v>
      </c>
      <c r="M139" s="5"/>
      <c r="N139" s="6">
        <f t="shared" si="0"/>
        <v>0</v>
      </c>
      <c r="O139" s="4">
        <f t="shared" si="1"/>
        <v>0</v>
      </c>
      <c r="P139" s="4">
        <f t="shared" si="2"/>
        <v>0</v>
      </c>
      <c r="Q139" s="4">
        <f t="shared" si="3"/>
        <v>0</v>
      </c>
      <c r="R139" s="4">
        <f t="shared" si="4"/>
        <v>2.0699999999999998</v>
      </c>
      <c r="S139" s="4">
        <f t="shared" si="5"/>
        <v>0</v>
      </c>
    </row>
    <row r="140" spans="1:19">
      <c r="A140" s="3" t="s">
        <v>131</v>
      </c>
      <c r="B140" s="4">
        <v>2.0699999999999998</v>
      </c>
      <c r="C140" s="4">
        <v>1</v>
      </c>
      <c r="D140" s="4"/>
      <c r="E140" s="4"/>
      <c r="F140" s="4"/>
      <c r="G140" s="4"/>
      <c r="H140" s="4">
        <v>1</v>
      </c>
      <c r="I140" s="5"/>
      <c r="J140" s="5"/>
      <c r="K140" s="5"/>
      <c r="L140" s="5">
        <v>1</v>
      </c>
      <c r="M140" s="5"/>
      <c r="N140" s="6">
        <f t="shared" si="0"/>
        <v>0</v>
      </c>
      <c r="O140" s="4">
        <f t="shared" si="1"/>
        <v>0</v>
      </c>
      <c r="P140" s="4">
        <f t="shared" si="2"/>
        <v>0</v>
      </c>
      <c r="Q140" s="4">
        <f t="shared" si="3"/>
        <v>0</v>
      </c>
      <c r="R140" s="4">
        <f t="shared" si="4"/>
        <v>2.0699999999999998</v>
      </c>
      <c r="S140" s="4">
        <f t="shared" si="5"/>
        <v>0</v>
      </c>
    </row>
    <row r="141" spans="1:19">
      <c r="A141" s="7" t="s">
        <v>132</v>
      </c>
      <c r="B141" s="4">
        <f>1.275*2</f>
        <v>2.5499999999999998</v>
      </c>
      <c r="C141" s="4"/>
      <c r="D141" s="4">
        <v>2</v>
      </c>
      <c r="E141" s="4"/>
      <c r="F141" s="4"/>
      <c r="G141" s="4"/>
      <c r="H141" s="4">
        <v>1</v>
      </c>
      <c r="I141" s="5"/>
      <c r="J141" s="5"/>
      <c r="K141" s="5"/>
      <c r="L141" s="5">
        <v>1</v>
      </c>
      <c r="M141" s="5"/>
      <c r="N141" s="6">
        <f t="shared" si="0"/>
        <v>0</v>
      </c>
      <c r="O141" s="4">
        <f t="shared" si="1"/>
        <v>0</v>
      </c>
      <c r="P141" s="4">
        <f t="shared" si="2"/>
        <v>0</v>
      </c>
      <c r="Q141" s="4">
        <f t="shared" si="3"/>
        <v>0</v>
      </c>
      <c r="R141" s="4">
        <f t="shared" si="4"/>
        <v>2.5499999999999998</v>
      </c>
      <c r="S141" s="4">
        <f t="shared" si="5"/>
        <v>0</v>
      </c>
    </row>
    <row r="142" spans="1:19">
      <c r="A142" s="3" t="s">
        <v>133</v>
      </c>
      <c r="B142" s="4">
        <v>2.0699999999999998</v>
      </c>
      <c r="C142" s="4">
        <v>1</v>
      </c>
      <c r="D142" s="4"/>
      <c r="E142" s="4"/>
      <c r="F142" s="4"/>
      <c r="G142" s="4"/>
      <c r="H142" s="4">
        <v>1</v>
      </c>
      <c r="I142" s="5"/>
      <c r="J142" s="5"/>
      <c r="K142" s="5">
        <v>1</v>
      </c>
      <c r="L142" s="5"/>
      <c r="M142" s="5"/>
      <c r="N142" s="6">
        <f t="shared" si="0"/>
        <v>0</v>
      </c>
      <c r="O142" s="4">
        <f t="shared" si="1"/>
        <v>0</v>
      </c>
      <c r="P142" s="4">
        <f t="shared" si="2"/>
        <v>0</v>
      </c>
      <c r="Q142" s="4">
        <f t="shared" si="3"/>
        <v>2.0699999999999998</v>
      </c>
      <c r="R142" s="4">
        <f t="shared" si="4"/>
        <v>0</v>
      </c>
      <c r="S142" s="4">
        <f t="shared" si="5"/>
        <v>0</v>
      </c>
    </row>
    <row r="143" spans="1:19">
      <c r="A143" s="3"/>
      <c r="B143" s="4"/>
      <c r="C143" s="4"/>
      <c r="D143" s="4"/>
      <c r="E143" s="4"/>
      <c r="F143" s="4"/>
      <c r="G143" s="4"/>
      <c r="H143" s="4"/>
      <c r="I143" s="5"/>
      <c r="J143" s="5"/>
      <c r="K143" s="5"/>
      <c r="L143" s="5"/>
      <c r="M143" s="5"/>
      <c r="N143" s="6"/>
      <c r="O143" s="4"/>
      <c r="P143" s="4"/>
      <c r="Q143" s="4"/>
      <c r="R143" s="4"/>
      <c r="S143" s="4"/>
    </row>
    <row r="144" spans="1:19">
      <c r="A144" s="7" t="s">
        <v>134</v>
      </c>
      <c r="B144" s="4">
        <v>1.2749999999999999</v>
      </c>
      <c r="C144" s="4"/>
      <c r="D144" s="4">
        <v>1</v>
      </c>
      <c r="E144" s="4"/>
      <c r="F144" s="4"/>
      <c r="G144" s="4"/>
      <c r="H144" s="4">
        <v>1</v>
      </c>
      <c r="I144" s="5"/>
      <c r="J144" s="5"/>
      <c r="K144" s="5"/>
      <c r="L144" s="5"/>
      <c r="M144" s="5">
        <v>1</v>
      </c>
      <c r="N144" s="6">
        <f t="shared" si="0"/>
        <v>0</v>
      </c>
      <c r="O144" s="4">
        <f t="shared" si="1"/>
        <v>0</v>
      </c>
      <c r="P144" s="4">
        <f t="shared" si="2"/>
        <v>0</v>
      </c>
      <c r="Q144" s="4">
        <f t="shared" si="3"/>
        <v>0</v>
      </c>
      <c r="R144" s="4">
        <f t="shared" si="4"/>
        <v>0</v>
      </c>
      <c r="S144" s="4">
        <f t="shared" si="5"/>
        <v>1.2749999999999999</v>
      </c>
    </row>
    <row r="145" spans="1:19">
      <c r="A145" s="7" t="s">
        <v>135</v>
      </c>
      <c r="B145" s="8">
        <v>1.2749999999999999</v>
      </c>
      <c r="C145" s="4"/>
      <c r="D145" s="4">
        <v>1</v>
      </c>
      <c r="E145" s="4"/>
      <c r="F145" s="4"/>
      <c r="G145" s="4"/>
      <c r="H145" s="4">
        <v>1</v>
      </c>
      <c r="I145" s="5"/>
      <c r="J145" s="5"/>
      <c r="K145" s="5">
        <v>1</v>
      </c>
      <c r="L145" s="5"/>
      <c r="M145" s="5"/>
      <c r="N145" s="6">
        <f t="shared" si="0"/>
        <v>0</v>
      </c>
      <c r="O145" s="4">
        <f t="shared" si="1"/>
        <v>0</v>
      </c>
      <c r="P145" s="4">
        <f t="shared" si="2"/>
        <v>0</v>
      </c>
      <c r="Q145" s="4">
        <f t="shared" si="3"/>
        <v>1.2749999999999999</v>
      </c>
      <c r="R145" s="4">
        <f t="shared" si="4"/>
        <v>0</v>
      </c>
      <c r="S145" s="4">
        <f t="shared" si="5"/>
        <v>0</v>
      </c>
    </row>
    <row r="146" spans="1:19">
      <c r="A146" s="3" t="s">
        <v>136</v>
      </c>
      <c r="B146" s="4">
        <v>2.0699999999999998</v>
      </c>
      <c r="C146" s="4">
        <v>1</v>
      </c>
      <c r="D146" s="4"/>
      <c r="E146" s="4"/>
      <c r="F146" s="4"/>
      <c r="G146" s="4"/>
      <c r="H146" s="4">
        <v>1</v>
      </c>
      <c r="I146" s="5"/>
      <c r="J146" s="5"/>
      <c r="K146" s="5"/>
      <c r="L146" s="5"/>
      <c r="M146" s="5">
        <v>1</v>
      </c>
      <c r="N146" s="6">
        <f t="shared" si="0"/>
        <v>0</v>
      </c>
      <c r="O146" s="4">
        <f t="shared" si="1"/>
        <v>0</v>
      </c>
      <c r="P146" s="4">
        <f t="shared" si="2"/>
        <v>0</v>
      </c>
      <c r="Q146" s="4">
        <f t="shared" si="3"/>
        <v>0</v>
      </c>
      <c r="R146" s="4">
        <f t="shared" si="4"/>
        <v>0</v>
      </c>
      <c r="S146" s="4">
        <f t="shared" si="5"/>
        <v>2.0699999999999998</v>
      </c>
    </row>
    <row r="147" spans="1:19">
      <c r="A147" s="3" t="s">
        <v>137</v>
      </c>
      <c r="B147" s="4">
        <v>2.5499999999999998</v>
      </c>
      <c r="C147" s="4"/>
      <c r="D147" s="4"/>
      <c r="E147" s="4">
        <v>2</v>
      </c>
      <c r="F147" s="4"/>
      <c r="G147" s="4"/>
      <c r="H147" s="4">
        <v>1</v>
      </c>
      <c r="I147" s="5"/>
      <c r="J147" s="5"/>
      <c r="K147" s="5"/>
      <c r="L147" s="5">
        <v>1</v>
      </c>
      <c r="M147" s="5"/>
      <c r="N147" s="6">
        <f t="shared" si="0"/>
        <v>0</v>
      </c>
      <c r="O147" s="4">
        <f t="shared" si="1"/>
        <v>0</v>
      </c>
      <c r="P147" s="4">
        <f t="shared" si="2"/>
        <v>0</v>
      </c>
      <c r="Q147" s="4">
        <f t="shared" si="3"/>
        <v>0</v>
      </c>
      <c r="R147" s="4">
        <f t="shared" si="4"/>
        <v>2.5499999999999998</v>
      </c>
      <c r="S147" s="4">
        <f t="shared" si="5"/>
        <v>0</v>
      </c>
    </row>
    <row r="148" spans="1:19">
      <c r="A148" s="3"/>
      <c r="B148" s="4"/>
      <c r="C148" s="4"/>
      <c r="D148" s="4"/>
      <c r="E148" s="4"/>
      <c r="F148" s="4"/>
      <c r="G148" s="4"/>
      <c r="H148" s="4"/>
      <c r="I148" s="5"/>
      <c r="J148" s="5"/>
      <c r="K148" s="5"/>
      <c r="L148" s="5"/>
      <c r="M148" s="5"/>
      <c r="N148" s="6"/>
      <c r="O148" s="4"/>
      <c r="P148" s="4"/>
      <c r="Q148" s="4"/>
      <c r="R148" s="4"/>
      <c r="S148" s="4"/>
    </row>
    <row r="149" spans="1:19">
      <c r="A149" s="7" t="s">
        <v>138</v>
      </c>
      <c r="B149" s="4">
        <v>1.2749999999999999</v>
      </c>
      <c r="C149" s="4"/>
      <c r="D149" s="4">
        <v>1</v>
      </c>
      <c r="E149" s="4"/>
      <c r="F149" s="4"/>
      <c r="G149" s="4"/>
      <c r="H149" s="4">
        <v>1</v>
      </c>
      <c r="I149" s="5"/>
      <c r="J149" s="5"/>
      <c r="K149" s="5"/>
      <c r="L149" s="5">
        <v>1</v>
      </c>
      <c r="M149" s="5"/>
      <c r="N149" s="6">
        <f t="shared" si="0"/>
        <v>0</v>
      </c>
      <c r="O149" s="4">
        <f t="shared" si="1"/>
        <v>0</v>
      </c>
      <c r="P149" s="4">
        <f t="shared" si="2"/>
        <v>0</v>
      </c>
      <c r="Q149" s="4">
        <f t="shared" si="3"/>
        <v>0</v>
      </c>
      <c r="R149" s="4">
        <f t="shared" si="4"/>
        <v>1.2749999999999999</v>
      </c>
      <c r="S149" s="4">
        <f t="shared" si="5"/>
        <v>0</v>
      </c>
    </row>
    <row r="150" spans="1:19">
      <c r="A150" s="7" t="s">
        <v>139</v>
      </c>
      <c r="B150" s="8">
        <v>1.2749999999999999</v>
      </c>
      <c r="C150" s="4"/>
      <c r="D150" s="4">
        <v>1</v>
      </c>
      <c r="E150" s="4"/>
      <c r="F150" s="4"/>
      <c r="G150" s="4"/>
      <c r="H150" s="4">
        <v>1</v>
      </c>
      <c r="I150" s="5"/>
      <c r="J150" s="5"/>
      <c r="K150" s="5">
        <v>1</v>
      </c>
      <c r="L150" s="5"/>
      <c r="M150" s="5"/>
      <c r="N150" s="6">
        <f t="shared" si="0"/>
        <v>0</v>
      </c>
      <c r="O150" s="4">
        <f t="shared" si="1"/>
        <v>0</v>
      </c>
      <c r="P150" s="4">
        <f t="shared" si="2"/>
        <v>0</v>
      </c>
      <c r="Q150" s="4">
        <f t="shared" si="3"/>
        <v>1.2749999999999999</v>
      </c>
      <c r="R150" s="4">
        <f t="shared" si="4"/>
        <v>0</v>
      </c>
      <c r="S150" s="4">
        <f t="shared" si="5"/>
        <v>0</v>
      </c>
    </row>
    <row r="151" spans="1:19">
      <c r="A151" s="3" t="s">
        <v>140</v>
      </c>
      <c r="B151" s="4">
        <v>1.2749999999999999</v>
      </c>
      <c r="C151" s="4"/>
      <c r="D151" s="4">
        <v>1</v>
      </c>
      <c r="E151" s="4"/>
      <c r="F151" s="4"/>
      <c r="G151" s="4"/>
      <c r="H151" s="4">
        <v>1</v>
      </c>
      <c r="I151" s="5"/>
      <c r="J151" s="5"/>
      <c r="K151" s="5"/>
      <c r="L151" s="5">
        <v>1</v>
      </c>
      <c r="M151" s="5"/>
      <c r="N151" s="6">
        <f t="shared" si="0"/>
        <v>0</v>
      </c>
      <c r="O151" s="4">
        <f t="shared" si="1"/>
        <v>0</v>
      </c>
      <c r="P151" s="4">
        <f t="shared" si="2"/>
        <v>0</v>
      </c>
      <c r="Q151" s="4">
        <f t="shared" si="3"/>
        <v>0</v>
      </c>
      <c r="R151" s="4">
        <f t="shared" si="4"/>
        <v>1.2749999999999999</v>
      </c>
      <c r="S151" s="4">
        <f t="shared" si="5"/>
        <v>0</v>
      </c>
    </row>
    <row r="152" spans="1:19">
      <c r="A152" s="11" t="s">
        <v>141</v>
      </c>
      <c r="B152" s="12">
        <v>2.0699999999999998</v>
      </c>
      <c r="C152" s="4">
        <v>1</v>
      </c>
      <c r="D152" s="4"/>
      <c r="E152" s="4"/>
      <c r="F152" s="4"/>
      <c r="G152" s="4"/>
      <c r="H152" s="4">
        <v>1</v>
      </c>
      <c r="I152" s="5"/>
      <c r="J152" s="5"/>
      <c r="K152" s="5"/>
      <c r="L152" s="5">
        <v>1</v>
      </c>
      <c r="M152" s="5"/>
      <c r="N152" s="6">
        <f t="shared" si="0"/>
        <v>0</v>
      </c>
      <c r="O152" s="4">
        <f t="shared" si="1"/>
        <v>0</v>
      </c>
      <c r="P152" s="4">
        <f t="shared" si="2"/>
        <v>0</v>
      </c>
      <c r="Q152" s="4">
        <f t="shared" si="3"/>
        <v>0</v>
      </c>
      <c r="R152" s="4">
        <f t="shared" si="4"/>
        <v>2.0699999999999998</v>
      </c>
      <c r="S152" s="4">
        <f t="shared" si="5"/>
        <v>0</v>
      </c>
    </row>
    <row r="153" spans="1:19">
      <c r="A153" s="11" t="s">
        <v>142</v>
      </c>
      <c r="B153" s="12">
        <v>1.2749999999999999</v>
      </c>
      <c r="C153" s="4"/>
      <c r="D153" s="4"/>
      <c r="E153" s="4"/>
      <c r="F153" s="4"/>
      <c r="G153" s="4"/>
      <c r="H153" s="4">
        <v>1</v>
      </c>
      <c r="I153" s="5"/>
      <c r="J153" s="5"/>
      <c r="K153" s="5">
        <v>1</v>
      </c>
      <c r="L153" s="5"/>
      <c r="M153" s="5"/>
      <c r="N153" s="6">
        <f t="shared" si="0"/>
        <v>0</v>
      </c>
      <c r="O153" s="4">
        <f t="shared" si="1"/>
        <v>0</v>
      </c>
      <c r="P153" s="4">
        <f t="shared" si="2"/>
        <v>0</v>
      </c>
      <c r="Q153" s="4">
        <f t="shared" si="3"/>
        <v>1.2749999999999999</v>
      </c>
      <c r="R153" s="4">
        <f t="shared" si="4"/>
        <v>0</v>
      </c>
      <c r="S153" s="4">
        <f t="shared" si="5"/>
        <v>0</v>
      </c>
    </row>
    <row r="154" spans="1:19">
      <c r="A154" s="4"/>
      <c r="B154" s="4"/>
      <c r="C154" s="4">
        <v>180</v>
      </c>
      <c r="D154" s="4">
        <v>150</v>
      </c>
      <c r="E154" s="4" t="s">
        <v>143</v>
      </c>
      <c r="F154" s="4">
        <v>400</v>
      </c>
      <c r="G154" s="4">
        <v>250</v>
      </c>
      <c r="H154" s="4"/>
      <c r="I154" s="5" t="s">
        <v>144</v>
      </c>
      <c r="J154" s="5" t="s">
        <v>145</v>
      </c>
      <c r="K154" s="5" t="s">
        <v>146</v>
      </c>
      <c r="L154" s="5" t="s">
        <v>147</v>
      </c>
      <c r="M154" s="5" t="s">
        <v>148</v>
      </c>
      <c r="N154" s="6"/>
      <c r="O154" s="4" t="s">
        <v>144</v>
      </c>
      <c r="P154" s="4" t="s">
        <v>145</v>
      </c>
      <c r="Q154" s="4" t="s">
        <v>146</v>
      </c>
      <c r="R154" s="4" t="s">
        <v>147</v>
      </c>
      <c r="S154" s="4" t="s">
        <v>148</v>
      </c>
    </row>
    <row r="155" spans="1:19">
      <c r="A155" s="3"/>
      <c r="B155" s="4">
        <f>SUM(B29:B70)</f>
        <v>98.50999999999992</v>
      </c>
      <c r="C155" s="4">
        <v>180</v>
      </c>
      <c r="D155" s="4">
        <v>150</v>
      </c>
      <c r="E155" s="4" t="s">
        <v>143</v>
      </c>
      <c r="F155" s="4">
        <v>400</v>
      </c>
      <c r="G155" s="4">
        <v>250</v>
      </c>
      <c r="H155" s="4"/>
      <c r="I155" s="5"/>
      <c r="J155" s="5"/>
      <c r="K155" s="5"/>
      <c r="L155" s="5"/>
      <c r="M155" s="5"/>
      <c r="N155" s="6">
        <f t="shared" ref="N155:N170" si="6">SUM(I155:M155)-H155</f>
        <v>0</v>
      </c>
      <c r="O155" s="4">
        <f>SUM(O1:O154)</f>
        <v>147.22999999999996</v>
      </c>
      <c r="P155" s="4">
        <f>SUM(P1:P153)</f>
        <v>137.96199999999996</v>
      </c>
      <c r="Q155" s="4">
        <f>SUM(Q1:Q153)</f>
        <v>122.83000000000004</v>
      </c>
      <c r="R155" s="4">
        <f>SUM(R1:R153)</f>
        <v>137.66499999999996</v>
      </c>
      <c r="S155" s="4">
        <f>SUM(S1:S153)</f>
        <v>135.90199999999999</v>
      </c>
    </row>
    <row r="156" spans="1:19">
      <c r="A156" s="3"/>
      <c r="B156" s="4"/>
      <c r="C156" s="4">
        <f>SUM(C29:C70)</f>
        <v>28</v>
      </c>
      <c r="D156" s="4">
        <f>SUM(D29:D70)</f>
        <v>23</v>
      </c>
      <c r="E156" s="4">
        <v>3</v>
      </c>
      <c r="F156" s="4">
        <v>1</v>
      </c>
      <c r="G156" s="4">
        <v>1</v>
      </c>
      <c r="H156" s="4"/>
      <c r="I156" s="5"/>
      <c r="J156" s="5"/>
      <c r="K156" s="5"/>
      <c r="L156" s="5"/>
      <c r="M156" s="5"/>
      <c r="N156" s="6">
        <f t="shared" si="6"/>
        <v>0</v>
      </c>
      <c r="O156" s="4"/>
      <c r="P156" s="4"/>
      <c r="Q156" s="4"/>
      <c r="R156" s="4"/>
      <c r="S156" s="4"/>
    </row>
    <row r="157" spans="1:19">
      <c r="A157" s="13"/>
      <c r="N157" s="2">
        <f t="shared" si="6"/>
        <v>0</v>
      </c>
    </row>
    <row r="158" spans="1:19">
      <c r="A158" s="13"/>
      <c r="N158" s="2">
        <f t="shared" si="6"/>
        <v>0</v>
      </c>
    </row>
    <row r="159" spans="1:19">
      <c r="N159" s="2">
        <f t="shared" si="6"/>
        <v>0</v>
      </c>
    </row>
    <row r="160" spans="1:19">
      <c r="N160" s="2">
        <f t="shared" si="6"/>
        <v>0</v>
      </c>
    </row>
    <row r="161" spans="14:14">
      <c r="N161" s="2">
        <f t="shared" si="6"/>
        <v>0</v>
      </c>
    </row>
    <row r="162" spans="14:14">
      <c r="N162" s="2">
        <f t="shared" si="6"/>
        <v>0</v>
      </c>
    </row>
    <row r="163" spans="14:14">
      <c r="N163" s="2">
        <f t="shared" si="6"/>
        <v>0</v>
      </c>
    </row>
    <row r="164" spans="14:14">
      <c r="N164" s="2">
        <f t="shared" si="6"/>
        <v>0</v>
      </c>
    </row>
    <row r="165" spans="14:14">
      <c r="N165" s="2">
        <f t="shared" si="6"/>
        <v>0</v>
      </c>
    </row>
    <row r="166" spans="14:14">
      <c r="N166" s="2">
        <f t="shared" si="6"/>
        <v>0</v>
      </c>
    </row>
    <row r="167" spans="14:14">
      <c r="N167" s="2">
        <f t="shared" si="6"/>
        <v>0</v>
      </c>
    </row>
    <row r="168" spans="14:14">
      <c r="N168" s="2">
        <f t="shared" si="6"/>
        <v>0</v>
      </c>
    </row>
    <row r="169" spans="14:14">
      <c r="N169" s="2">
        <f t="shared" si="6"/>
        <v>0</v>
      </c>
    </row>
    <row r="170" spans="14:14">
      <c r="N170" s="2">
        <f t="shared" si="6"/>
        <v>0</v>
      </c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V181"/>
  <sheetViews>
    <sheetView topLeftCell="A17" zoomScale="73" zoomScaleNormal="73" workbookViewId="0">
      <selection activeCell="B181" sqref="B181"/>
    </sheetView>
  </sheetViews>
  <sheetFormatPr defaultRowHeight="15"/>
  <cols>
    <col min="1" max="1" width="55.5703125" style="14" customWidth="1"/>
    <col min="2" max="2" width="10.28515625" style="14" customWidth="1"/>
    <col min="3" max="5" width="4" style="14" customWidth="1"/>
    <col min="6" max="16384" width="9.140625" style="14"/>
  </cols>
  <sheetData>
    <row r="1" spans="1:13">
      <c r="A1" s="15" t="str">
        <f>Неделя!A1</f>
        <v>Велес гоголя 180</v>
      </c>
      <c r="B1" s="15">
        <f>Неделя!B1</f>
        <v>2.0699999999999998</v>
      </c>
      <c r="C1" s="15">
        <f>Неделя!C1</f>
        <v>1</v>
      </c>
      <c r="D1" s="15">
        <f>Неделя!D1</f>
        <v>0</v>
      </c>
      <c r="E1" s="15">
        <f>Неделя!E1</f>
        <v>0</v>
      </c>
      <c r="F1" s="15">
        <f>Неделя!F1</f>
        <v>0</v>
      </c>
      <c r="G1" s="15">
        <f>Неделя!G1</f>
        <v>0</v>
      </c>
      <c r="H1" s="15">
        <f>Неделя!I1</f>
        <v>1</v>
      </c>
      <c r="I1" s="15">
        <f>Неделя!O1</f>
        <v>2.0699999999999998</v>
      </c>
    </row>
    <row r="2" spans="1:13">
      <c r="A2" s="15" t="str">
        <f>Неделя!A2</f>
        <v>Велес красина 180</v>
      </c>
      <c r="B2" s="14">
        <f>Неделя!B2</f>
        <v>2.0699999999999998</v>
      </c>
      <c r="C2" s="14">
        <f>Неделя!C2</f>
        <v>1</v>
      </c>
      <c r="D2" s="14">
        <f>Неделя!D2</f>
        <v>0</v>
      </c>
      <c r="E2" s="14">
        <f>Неделя!E2</f>
        <v>0</v>
      </c>
      <c r="F2" s="14">
        <f>Неделя!F2</f>
        <v>0</v>
      </c>
      <c r="G2" s="14">
        <f>Неделя!G2</f>
        <v>0</v>
      </c>
      <c r="H2" s="14">
        <f>Неделя!I2</f>
        <v>1</v>
      </c>
      <c r="I2" s="14">
        <f>Неделя!O2</f>
        <v>2.0699999999999998</v>
      </c>
    </row>
    <row r="3" spans="1:13">
      <c r="A3" s="15" t="str">
        <f>Неделя!A3</f>
        <v>департамент финансов советская 66-150 резаный</v>
      </c>
      <c r="B3" s="14">
        <f>Неделя!B3</f>
        <v>1.2749999999999999</v>
      </c>
      <c r="C3" s="14">
        <f>Неделя!C3</f>
        <v>0</v>
      </c>
      <c r="D3" s="14">
        <f>Неделя!D3</f>
        <v>1</v>
      </c>
      <c r="E3" s="14">
        <f>Неделя!E3</f>
        <v>0</v>
      </c>
      <c r="F3" s="14">
        <f>Неделя!F3</f>
        <v>0</v>
      </c>
      <c r="G3" s="14">
        <f>Неделя!G3</f>
        <v>0</v>
      </c>
      <c r="H3" s="14">
        <f>Неделя!I3</f>
        <v>1</v>
      </c>
      <c r="I3" s="14">
        <f>Неделя!O3</f>
        <v>1.2749999999999999</v>
      </c>
    </row>
    <row r="4" spans="1:13" s="15" customFormat="1">
      <c r="A4" s="15" t="str">
        <f>Неделя!A4</f>
        <v>метрополис к. Маркса -2x180, 2x150</v>
      </c>
      <c r="B4" s="15">
        <f>Неделя!B4</f>
        <v>6.6899999999999995</v>
      </c>
      <c r="C4" s="15">
        <f>Неделя!C4</f>
        <v>2</v>
      </c>
      <c r="D4" s="15">
        <f>Неделя!D4</f>
        <v>2</v>
      </c>
      <c r="E4" s="15">
        <f>Неделя!E4</f>
        <v>0</v>
      </c>
      <c r="F4" s="15">
        <f>Неделя!F4</f>
        <v>0</v>
      </c>
      <c r="G4" s="15">
        <f>Неделя!G4</f>
        <v>0</v>
      </c>
      <c r="H4" s="15">
        <f>Неделя!I4</f>
        <v>1</v>
      </c>
      <c r="I4" s="15">
        <f>Неделя!O4</f>
        <v>6.6899999999999995</v>
      </c>
      <c r="M4" s="14"/>
    </row>
    <row r="5" spans="1:13">
      <c r="A5" s="15" t="str">
        <f>Неделя!A5</f>
        <v>метрополис Москва-2х180</v>
      </c>
      <c r="B5" s="14">
        <f>Неделя!B5</f>
        <v>4.1399999999999997</v>
      </c>
      <c r="C5" s="14">
        <f>Неделя!C5</f>
        <v>2</v>
      </c>
      <c r="D5" s="14">
        <f>Неделя!D5</f>
        <v>0</v>
      </c>
      <c r="E5" s="14">
        <f>Неделя!E5</f>
        <v>0</v>
      </c>
      <c r="F5" s="14">
        <f>Неделя!F5</f>
        <v>0</v>
      </c>
      <c r="G5" s="14">
        <f>Неделя!G5</f>
        <v>0</v>
      </c>
      <c r="H5" s="14">
        <f>Неделя!I5</f>
        <v>1</v>
      </c>
      <c r="I5" s="14">
        <f>Неделя!O5</f>
        <v>4.1399999999999997</v>
      </c>
    </row>
    <row r="6" spans="1:13">
      <c r="A6" s="15" t="str">
        <f>Неделя!A6</f>
        <v>МТС ленина 6 180</v>
      </c>
      <c r="B6" s="14">
        <f>Неделя!B6</f>
        <v>2.0699999999999998</v>
      </c>
      <c r="C6" s="14">
        <f>Неделя!C6</f>
        <v>1</v>
      </c>
      <c r="D6" s="14">
        <f>Неделя!D6</f>
        <v>0</v>
      </c>
      <c r="E6" s="14">
        <f>Неделя!E6</f>
        <v>0</v>
      </c>
      <c r="F6" s="14">
        <f>Неделя!F6</f>
        <v>0</v>
      </c>
      <c r="G6" s="14">
        <f>Неделя!G6</f>
        <v>0</v>
      </c>
      <c r="H6" s="14">
        <f>Неделя!I6</f>
        <v>1</v>
      </c>
      <c r="I6" s="14">
        <f>Неделя!O6</f>
        <v>2.0699999999999998</v>
      </c>
    </row>
    <row r="7" spans="1:13">
      <c r="A7" s="15" t="str">
        <f>Неделя!A7</f>
        <v>пальмира Ленина 5- 200 новый  150 нов</v>
      </c>
      <c r="B7" s="14">
        <f>Неделя!B7</f>
        <v>3.3449999999999998</v>
      </c>
      <c r="C7" s="14">
        <f>Неделя!C7</f>
        <v>1</v>
      </c>
      <c r="D7" s="14">
        <f>Неделя!D7</f>
        <v>1</v>
      </c>
      <c r="E7" s="14">
        <f>Неделя!E7</f>
        <v>0</v>
      </c>
      <c r="F7" s="14">
        <f>Неделя!F7</f>
        <v>0</v>
      </c>
      <c r="G7" s="14">
        <f>Неделя!G7</f>
        <v>0</v>
      </c>
      <c r="H7" s="14">
        <f>Неделя!I7</f>
        <v>1</v>
      </c>
      <c r="I7" s="14">
        <f>Неделя!O7</f>
        <v>3.3449999999999998</v>
      </c>
    </row>
    <row r="8" spans="1:13">
      <c r="A8" s="15" t="str">
        <f>Неделя!A8</f>
        <v>чунунок к. Мяготина-2x180</v>
      </c>
      <c r="B8" s="14">
        <f>Неделя!B8</f>
        <v>4.1399999999999997</v>
      </c>
      <c r="C8" s="14">
        <f>Неделя!C8</f>
        <v>2</v>
      </c>
      <c r="D8" s="14">
        <f>Неделя!D8</f>
        <v>0</v>
      </c>
      <c r="E8" s="14">
        <f>Неделя!E8</f>
        <v>0</v>
      </c>
      <c r="F8" s="14">
        <f>Неделя!F8</f>
        <v>0</v>
      </c>
      <c r="G8" s="14">
        <f>Неделя!G8</f>
        <v>0</v>
      </c>
      <c r="H8" s="14">
        <f>Неделя!I8</f>
        <v>1</v>
      </c>
      <c r="I8" s="14">
        <f>Неделя!O8</f>
        <v>4.1399999999999997</v>
      </c>
    </row>
    <row r="9" spans="1:13">
      <c r="A9" s="15" t="str">
        <f>Неделя!A9</f>
        <v>Сбер академия 2х150 коричнев стар</v>
      </c>
      <c r="B9" s="14">
        <f>Неделя!B9</f>
        <v>2.5499999999999998</v>
      </c>
      <c r="C9" s="14">
        <f>Неделя!C9</f>
        <v>0</v>
      </c>
      <c r="D9" s="14">
        <f>Неделя!D9</f>
        <v>2</v>
      </c>
      <c r="E9" s="14">
        <f>Неделя!E9</f>
        <v>0</v>
      </c>
      <c r="F9" s="14">
        <f>Неделя!F9</f>
        <v>0</v>
      </c>
      <c r="G9" s="14">
        <f>Неделя!G9</f>
        <v>0</v>
      </c>
      <c r="H9" s="14">
        <f>Неделя!I9</f>
        <v>1</v>
      </c>
      <c r="I9" s="14">
        <f>Неделя!O9</f>
        <v>2.5499999999999998</v>
      </c>
    </row>
    <row r="10" spans="1:13">
      <c r="A10" s="15" t="str">
        <f>Неделя!A10</f>
        <v>Сбер красина 2х150</v>
      </c>
      <c r="B10" s="14">
        <f>Неделя!B10</f>
        <v>2.5499999999999998</v>
      </c>
      <c r="C10" s="14">
        <f>Неделя!C10</f>
        <v>0</v>
      </c>
      <c r="D10" s="14">
        <f>Неделя!D10</f>
        <v>2</v>
      </c>
      <c r="E10" s="14">
        <f>Неделя!E10</f>
        <v>0</v>
      </c>
      <c r="F10" s="14">
        <f>Неделя!F10</f>
        <v>0</v>
      </c>
      <c r="G10" s="14">
        <f>Неделя!G10</f>
        <v>0</v>
      </c>
      <c r="H10" s="14">
        <f>Неделя!I10</f>
        <v>1</v>
      </c>
      <c r="I10" s="14">
        <f>Неделя!O10</f>
        <v>2.5499999999999998</v>
      </c>
    </row>
    <row r="11" spans="1:13" s="15" customFormat="1">
      <c r="A11" s="15" t="str">
        <f>Неделя!A11</f>
        <v>сбербанк гоголя 98-3ий вход 1 х 150</v>
      </c>
      <c r="B11" s="15">
        <f>Неделя!B11</f>
        <v>1.2749999999999999</v>
      </c>
      <c r="C11" s="15">
        <f>Неделя!C11</f>
        <v>2</v>
      </c>
      <c r="D11" s="15">
        <f>Неделя!D11</f>
        <v>5</v>
      </c>
      <c r="E11" s="15">
        <f>Неделя!E11</f>
        <v>0</v>
      </c>
      <c r="F11" s="15">
        <f>Неделя!F11</f>
        <v>0</v>
      </c>
      <c r="G11" s="15">
        <f>Неделя!G11</f>
        <v>0</v>
      </c>
      <c r="H11" s="15">
        <f>Неделя!I11</f>
        <v>1</v>
      </c>
      <c r="I11" s="15">
        <f>Неделя!O11</f>
        <v>1.2749999999999999</v>
      </c>
      <c r="M11" s="14"/>
    </row>
    <row r="12" spans="1:13">
      <c r="A12" s="15" t="str">
        <f>Неделя!A12</f>
        <v>сбербанк гоголя103- 2х150 коричневые</v>
      </c>
      <c r="B12" s="14">
        <f>Неделя!B12</f>
        <v>2.5499999999999998</v>
      </c>
      <c r="C12" s="14">
        <f>Неделя!C12</f>
        <v>0</v>
      </c>
      <c r="D12" s="14">
        <f>Неделя!D12</f>
        <v>2</v>
      </c>
      <c r="E12" s="14">
        <f>Неделя!E12</f>
        <v>0</v>
      </c>
      <c r="F12" s="14">
        <f>Неделя!F12</f>
        <v>0</v>
      </c>
      <c r="G12" s="14">
        <f>Неделя!G12</f>
        <v>0</v>
      </c>
      <c r="H12" s="14">
        <f>Неделя!I12</f>
        <v>1</v>
      </c>
      <c r="I12" s="14">
        <f>Неделя!O12</f>
        <v>2.5499999999999998</v>
      </c>
    </row>
    <row r="13" spans="1:13">
      <c r="A13" s="15" t="str">
        <f>Неделя!A13</f>
        <v>Велес дзержинского 180</v>
      </c>
      <c r="B13" s="14">
        <f>Неделя!B13</f>
        <v>2.0699999999999998</v>
      </c>
      <c r="C13" s="14">
        <f>Неделя!C13</f>
        <v>1</v>
      </c>
      <c r="D13" s="14">
        <f>Неделя!D13</f>
        <v>0</v>
      </c>
      <c r="E13" s="14">
        <f>Неделя!E13</f>
        <v>0</v>
      </c>
      <c r="F13" s="14">
        <f>Неделя!F13</f>
        <v>0</v>
      </c>
      <c r="G13" s="14">
        <f>Неделя!G13</f>
        <v>0</v>
      </c>
      <c r="H13" s="14">
        <f>Неделя!I13</f>
        <v>1</v>
      </c>
      <c r="I13" s="14">
        <f>Неделя!O13</f>
        <v>2.0699999999999998</v>
      </c>
    </row>
    <row r="14" spans="1:13">
      <c r="A14" s="15" t="str">
        <f>Неделя!A14</f>
        <v>велес юбилейный-150 новый</v>
      </c>
      <c r="B14" s="14">
        <f>Неделя!B14</f>
        <v>1.2749999999999999</v>
      </c>
      <c r="C14" s="14">
        <f>Неделя!C14</f>
        <v>0</v>
      </c>
      <c r="D14" s="14">
        <f>Неделя!D14</f>
        <v>1</v>
      </c>
      <c r="E14" s="14">
        <f>Неделя!E14</f>
        <v>0</v>
      </c>
      <c r="F14" s="14">
        <f>Неделя!F14</f>
        <v>0</v>
      </c>
      <c r="G14" s="14">
        <f>Неделя!G14</f>
        <v>0</v>
      </c>
      <c r="H14" s="14">
        <f>Неделя!I14</f>
        <v>1</v>
      </c>
      <c r="I14" s="14">
        <f>Неделя!O14</f>
        <v>1.2749999999999999</v>
      </c>
    </row>
    <row r="15" spans="1:13">
      <c r="A15" s="15" t="str">
        <f>Неделя!A15</f>
        <v>газпроммежрегионгаз- 2x150, 180 </v>
      </c>
      <c r="B15" s="14">
        <f>Неделя!B15</f>
        <v>4.6199999999999992</v>
      </c>
      <c r="C15" s="14">
        <f>Неделя!C15</f>
        <v>1</v>
      </c>
      <c r="D15" s="14">
        <f>Неделя!D15</f>
        <v>0</v>
      </c>
      <c r="E15" s="14">
        <f>Неделя!E15</f>
        <v>0</v>
      </c>
      <c r="F15" s="14">
        <f>Неделя!F15</f>
        <v>0</v>
      </c>
      <c r="G15" s="14">
        <f>Неделя!G15</f>
        <v>0</v>
      </c>
      <c r="H15" s="14">
        <f>Неделя!I15</f>
        <v>1</v>
      </c>
      <c r="I15" s="14">
        <f>Неделя!O15</f>
        <v>4.6199999999999992</v>
      </c>
    </row>
    <row r="16" spans="1:13">
      <c r="A16" s="15" t="str">
        <f>Неделя!A16</f>
        <v>Кижк 400 рез, 180</v>
      </c>
      <c r="B16" s="14">
        <f>Неделя!B16</f>
        <v>6.07</v>
      </c>
      <c r="C16" s="14">
        <f>Неделя!C16</f>
        <v>1</v>
      </c>
      <c r="D16" s="14">
        <f>Неделя!D16</f>
        <v>0</v>
      </c>
      <c r="E16" s="14">
        <f>Неделя!E16</f>
        <v>0</v>
      </c>
      <c r="F16" s="14">
        <f>Неделя!F16</f>
        <v>1</v>
      </c>
      <c r="G16" s="14">
        <f>Неделя!G16</f>
        <v>0</v>
      </c>
      <c r="H16" s="14">
        <f>Неделя!I16</f>
        <v>1</v>
      </c>
      <c r="I16" s="14">
        <f>Неделя!O16</f>
        <v>6.07</v>
      </c>
    </row>
    <row r="17" spans="1:9">
      <c r="A17" s="15" t="str">
        <f>Неделя!A17</f>
        <v>кодак Кирова-150 старые </v>
      </c>
      <c r="B17" s="14">
        <f>Неделя!B17</f>
        <v>1.2749999999999999</v>
      </c>
      <c r="C17" s="14">
        <f>Неделя!C17</f>
        <v>0</v>
      </c>
      <c r="D17" s="14">
        <f>Неделя!D17</f>
        <v>1</v>
      </c>
      <c r="E17" s="14">
        <f>Неделя!E17</f>
        <v>0</v>
      </c>
      <c r="F17" s="14">
        <f>Неделя!F17</f>
        <v>0</v>
      </c>
      <c r="G17" s="14">
        <f>Неделя!G17</f>
        <v>0</v>
      </c>
      <c r="H17" s="14">
        <f>Неделя!I17</f>
        <v>1</v>
      </c>
      <c r="I17" s="14">
        <f>Неделя!O17</f>
        <v>1.2749999999999999</v>
      </c>
    </row>
    <row r="18" spans="1:9">
      <c r="A18" s="15" t="str">
        <f>Неделя!A18</f>
        <v>мегаблин гоголя-180 </v>
      </c>
      <c r="B18" s="14">
        <f>Неделя!B18</f>
        <v>2.0699999999999998</v>
      </c>
      <c r="C18" s="14">
        <f>Неделя!C18</f>
        <v>1</v>
      </c>
      <c r="D18" s="14">
        <f>Неделя!D18</f>
        <v>0</v>
      </c>
      <c r="E18" s="14">
        <f>Неделя!E18</f>
        <v>0</v>
      </c>
      <c r="F18" s="14">
        <f>Неделя!F18</f>
        <v>0</v>
      </c>
      <c r="G18" s="14">
        <f>Неделя!G18</f>
        <v>0</v>
      </c>
      <c r="H18" s="14">
        <f>Неделя!I18</f>
        <v>1</v>
      </c>
      <c r="I18" s="14">
        <f>Неделя!O18</f>
        <v>2.0699999999999998</v>
      </c>
    </row>
    <row r="19" spans="1:9">
      <c r="A19" s="15" t="str">
        <f>Неделя!A19</f>
        <v>Монетка гоголя 103 -180</v>
      </c>
      <c r="B19" s="14">
        <f>Неделя!B19</f>
        <v>2.0699999999999998</v>
      </c>
      <c r="C19" s="14">
        <f>Неделя!C19</f>
        <v>1</v>
      </c>
      <c r="D19" s="14">
        <f>Неделя!D19</f>
        <v>0</v>
      </c>
      <c r="E19" s="14">
        <f>Неделя!E19</f>
        <v>0</v>
      </c>
      <c r="F19" s="14">
        <f>Неделя!F19</f>
        <v>0</v>
      </c>
      <c r="G19" s="14">
        <f>Неделя!G19</f>
        <v>0</v>
      </c>
      <c r="H19" s="14">
        <f>Неделя!I19</f>
        <v>1</v>
      </c>
      <c r="I19" s="14">
        <f>Неделя!O19</f>
        <v>2.0699999999999998</v>
      </c>
    </row>
    <row r="20" spans="1:9">
      <c r="A20" s="15" t="str">
        <f>Неделя!A20</f>
        <v>Монетка кирова 180</v>
      </c>
      <c r="B20" s="14">
        <f>Неделя!B20</f>
        <v>2.0699999999999998</v>
      </c>
      <c r="C20" s="14">
        <f>Неделя!C20</f>
        <v>1</v>
      </c>
      <c r="D20" s="14">
        <f>Неделя!D20</f>
        <v>0</v>
      </c>
      <c r="E20" s="14">
        <f>Неделя!E20</f>
        <v>0</v>
      </c>
      <c r="F20" s="14">
        <f>Неделя!F20</f>
        <v>0</v>
      </c>
      <c r="G20" s="14">
        <f>Неделя!G20</f>
        <v>0</v>
      </c>
      <c r="H20" s="14">
        <f>Неделя!I20</f>
        <v>1</v>
      </c>
      <c r="I20" s="14">
        <f>Неделя!O20</f>
        <v>2.0699999999999998</v>
      </c>
    </row>
    <row r="21" spans="1:9">
      <c r="A21" s="15" t="str">
        <f>Неделя!A21</f>
        <v>Монетка красина 180</v>
      </c>
      <c r="B21" s="14">
        <f>Неделя!B21</f>
        <v>2.0699999999999998</v>
      </c>
      <c r="C21" s="14">
        <f>Неделя!C21</f>
        <v>1</v>
      </c>
      <c r="D21" s="14">
        <f>Неделя!D21</f>
        <v>0</v>
      </c>
      <c r="E21" s="14">
        <f>Неделя!E21</f>
        <v>0</v>
      </c>
      <c r="F21" s="14">
        <f>Неделя!F21</f>
        <v>0</v>
      </c>
      <c r="G21" s="14">
        <f>Неделя!G21</f>
        <v>0</v>
      </c>
      <c r="H21" s="14">
        <f>Неделя!I21</f>
        <v>1</v>
      </c>
      <c r="I21" s="14">
        <f>Неделя!O21</f>
        <v>2.0699999999999998</v>
      </c>
    </row>
    <row r="22" spans="1:9">
      <c r="A22" s="15" t="str">
        <f>Неделя!A22</f>
        <v>Монетка пушкина 49-180</v>
      </c>
      <c r="B22" s="14">
        <f>Неделя!B22</f>
        <v>2.0699999999999998</v>
      </c>
      <c r="C22" s="14">
        <f>Неделя!C22</f>
        <v>1</v>
      </c>
      <c r="D22" s="14">
        <f>Неделя!D22</f>
        <v>0</v>
      </c>
      <c r="E22" s="14">
        <f>Неделя!E22</f>
        <v>0</v>
      </c>
      <c r="F22" s="14">
        <f>Неделя!F22</f>
        <v>0</v>
      </c>
      <c r="G22" s="14">
        <f>Неделя!G22</f>
        <v>0</v>
      </c>
      <c r="H22" s="14">
        <f>Неделя!I22</f>
        <v>1</v>
      </c>
      <c r="I22" s="14">
        <f>Неделя!O22</f>
        <v>2.0699999999999998</v>
      </c>
    </row>
    <row r="23" spans="1:9">
      <c r="A23" s="15" t="str">
        <f>Неделя!A23</f>
        <v>Монтка Ленина М Горько 180</v>
      </c>
      <c r="B23" s="14">
        <f>Неделя!B23</f>
        <v>2.0699999999999998</v>
      </c>
      <c r="C23" s="14">
        <f>Неделя!C23</f>
        <v>1</v>
      </c>
      <c r="D23" s="14">
        <f>Неделя!D23</f>
        <v>0</v>
      </c>
      <c r="E23" s="14">
        <f>Неделя!E23</f>
        <v>0</v>
      </c>
      <c r="F23" s="14">
        <f>Неделя!F23</f>
        <v>0</v>
      </c>
      <c r="G23" s="14">
        <f>Неделя!G23</f>
        <v>0</v>
      </c>
      <c r="H23" s="14">
        <f>Неделя!I23</f>
        <v>1</v>
      </c>
      <c r="I23" s="14">
        <f>Неделя!O23</f>
        <v>2.0699999999999998</v>
      </c>
    </row>
    <row r="24" spans="1:9">
      <c r="A24" s="15" t="str">
        <f>Неделя!A24</f>
        <v>Мясной к. маркса 150 рез</v>
      </c>
      <c r="B24" s="14">
        <f>Неделя!B24</f>
        <v>1.2749999999999999</v>
      </c>
      <c r="C24" s="14">
        <f>Неделя!C24</f>
        <v>0</v>
      </c>
      <c r="D24" s="14">
        <f>Неделя!D24</f>
        <v>1</v>
      </c>
      <c r="E24" s="14">
        <f>Неделя!E24</f>
        <v>0</v>
      </c>
      <c r="F24" s="14">
        <f>Неделя!F24</f>
        <v>0</v>
      </c>
      <c r="G24" s="14">
        <f>Неделя!G24</f>
        <v>0</v>
      </c>
      <c r="H24" s="14">
        <f>Неделя!I24</f>
        <v>1</v>
      </c>
      <c r="I24" s="14">
        <f>Неделя!O24</f>
        <v>1.2749999999999999</v>
      </c>
    </row>
    <row r="25" spans="1:9">
      <c r="A25" s="15" t="str">
        <f>Неделя!A25</f>
        <v>Мясной советская 39 180 </v>
      </c>
      <c r="B25" s="14">
        <f>Неделя!B25</f>
        <v>2.0699999999999998</v>
      </c>
      <c r="C25" s="14">
        <f>Неделя!C25</f>
        <v>1</v>
      </c>
      <c r="D25" s="14">
        <f>Неделя!D25</f>
        <v>0</v>
      </c>
      <c r="E25" s="14">
        <f>Неделя!E25</f>
        <v>0</v>
      </c>
      <c r="F25" s="14">
        <f>Неделя!F25</f>
        <v>0</v>
      </c>
      <c r="G25" s="14">
        <f>Неделя!G25</f>
        <v>0</v>
      </c>
      <c r="H25" s="14">
        <f>Неделя!I25</f>
        <v>1</v>
      </c>
      <c r="I25" s="14">
        <f>Неделя!O25</f>
        <v>2.0699999999999998</v>
      </c>
    </row>
    <row r="26" spans="1:9">
      <c r="A26" s="15" t="str">
        <f>Неделя!A26</f>
        <v>Пальмира гоголя 150</v>
      </c>
      <c r="B26" s="14">
        <f>Неделя!B26</f>
        <v>1.2749999999999999</v>
      </c>
      <c r="C26" s="14">
        <f>Неделя!C26</f>
        <v>0</v>
      </c>
      <c r="D26" s="14">
        <f>Неделя!D26</f>
        <v>1</v>
      </c>
      <c r="E26" s="14">
        <f>Неделя!E26</f>
        <v>0</v>
      </c>
      <c r="F26" s="14">
        <f>Неделя!F26</f>
        <v>0</v>
      </c>
      <c r="G26" s="14">
        <f>Неделя!G26</f>
        <v>0</v>
      </c>
      <c r="H26" s="14">
        <f>Неделя!I26</f>
        <v>1</v>
      </c>
      <c r="I26" s="14">
        <f>Неделя!O26</f>
        <v>1.2749999999999999</v>
      </c>
    </row>
    <row r="27" spans="1:9">
      <c r="A27" s="15" t="str">
        <f>Неделя!A27</f>
        <v>пальмира юбилейный-180 НОВЫЙ</v>
      </c>
      <c r="B27" s="14">
        <f>Неделя!B27</f>
        <v>2.0699999999999998</v>
      </c>
      <c r="C27" s="14">
        <f>Неделя!C27</f>
        <v>1</v>
      </c>
      <c r="D27" s="14">
        <f>Неделя!D27</f>
        <v>0</v>
      </c>
      <c r="E27" s="14">
        <f>Неделя!E27</f>
        <v>0</v>
      </c>
      <c r="F27" s="14">
        <f>Неделя!F27</f>
        <v>0</v>
      </c>
      <c r="G27" s="14">
        <f>Неделя!G27</f>
        <v>0</v>
      </c>
      <c r="H27" s="14">
        <f>Неделя!I27</f>
        <v>1</v>
      </c>
      <c r="I27" s="14">
        <f>Неделя!O27</f>
        <v>2.0699999999999998</v>
      </c>
    </row>
    <row r="28" spans="1:9">
      <c r="A28" s="15" t="str">
        <f>Неделя!A28</f>
        <v>прогресс Пролетарская-180, 60x80</v>
      </c>
      <c r="B28" s="14">
        <f>Неделя!B28</f>
        <v>3.3449999999999998</v>
      </c>
      <c r="C28" s="14">
        <f>Неделя!C28</f>
        <v>1</v>
      </c>
      <c r="D28" s="14">
        <f>Неделя!D28</f>
        <v>0</v>
      </c>
      <c r="E28" s="14">
        <f>Неделя!E28</f>
        <v>1</v>
      </c>
      <c r="F28" s="14">
        <f>Неделя!F28</f>
        <v>0</v>
      </c>
      <c r="G28" s="14">
        <f>Неделя!G28</f>
        <v>0</v>
      </c>
      <c r="H28" s="14">
        <f>Неделя!I28</f>
        <v>1</v>
      </c>
      <c r="I28" s="14">
        <f>Неделя!O28</f>
        <v>3.3449999999999998</v>
      </c>
    </row>
    <row r="29" spans="1:9">
      <c r="A29" s="15" t="str">
        <f>Неделя!A29</f>
        <v>прогресс советская 180, 150 новые</v>
      </c>
      <c r="B29" s="14">
        <f>Неделя!B29</f>
        <v>3.3449999999999998</v>
      </c>
      <c r="C29" s="14">
        <f>Неделя!C29</f>
        <v>1</v>
      </c>
      <c r="D29" s="14">
        <f>Неделя!D29</f>
        <v>1</v>
      </c>
      <c r="E29" s="14">
        <f>Неделя!E29</f>
        <v>0</v>
      </c>
      <c r="F29" s="14">
        <f>Неделя!F29</f>
        <v>0</v>
      </c>
      <c r="G29" s="14">
        <f>Неделя!G29</f>
        <v>0</v>
      </c>
      <c r="H29" s="14">
        <f>Неделя!I29</f>
        <v>1</v>
      </c>
      <c r="I29" s="14">
        <f>Неделя!O29</f>
        <v>3.3449999999999998</v>
      </c>
    </row>
    <row r="30" spans="1:9" s="15" customFormat="1">
      <c r="A30" s="15" t="str">
        <f>Неделя!A30</f>
        <v>сбербанк гоголя 98-1 вх 3Х150 коричневые </v>
      </c>
      <c r="B30" s="15">
        <f>Неделя!B30</f>
        <v>3.8249999999999997</v>
      </c>
      <c r="C30" s="15">
        <f>Неделя!C30</f>
        <v>0</v>
      </c>
      <c r="D30" s="15">
        <f>Неделя!D30</f>
        <v>0</v>
      </c>
      <c r="E30" s="15">
        <f>Неделя!E30</f>
        <v>0</v>
      </c>
      <c r="F30" s="15">
        <f>Неделя!F30</f>
        <v>0</v>
      </c>
      <c r="G30" s="15">
        <f>Неделя!G30</f>
        <v>0</v>
      </c>
      <c r="H30" s="15">
        <f>Неделя!I30</f>
        <v>1</v>
      </c>
      <c r="I30" s="15">
        <f>Неделя!O30</f>
        <v>3.8249999999999997</v>
      </c>
    </row>
    <row r="31" spans="1:9" s="15" customFormat="1">
      <c r="A31" s="15" t="str">
        <f>Неделя!A31</f>
        <v xml:space="preserve">сбербанк гоголя 98-2ой вход 2х180 </v>
      </c>
      <c r="B31" s="15">
        <f>Неделя!B31</f>
        <v>4.1399999999999997</v>
      </c>
      <c r="C31" s="15">
        <f>Неделя!C31</f>
        <v>0</v>
      </c>
      <c r="D31" s="15">
        <f>Неделя!D31</f>
        <v>0</v>
      </c>
      <c r="E31" s="15">
        <f>Неделя!E31</f>
        <v>0</v>
      </c>
      <c r="F31" s="15">
        <f>Неделя!F31</f>
        <v>0</v>
      </c>
      <c r="G31" s="15">
        <f>Неделя!G31</f>
        <v>0</v>
      </c>
      <c r="H31" s="15">
        <f>Неделя!I31</f>
        <v>1</v>
      </c>
      <c r="I31" s="15">
        <f>Неделя!O31</f>
        <v>4.1399999999999997</v>
      </c>
    </row>
    <row r="32" spans="1:9">
      <c r="A32" s="15" t="str">
        <f>Неделя!A32</f>
        <v>теремок Куйбышева -150 старый</v>
      </c>
      <c r="B32" s="14">
        <f>Неделя!B32</f>
        <v>1.2749999999999999</v>
      </c>
      <c r="C32" s="14">
        <f>Неделя!C32</f>
        <v>0</v>
      </c>
      <c r="D32" s="14">
        <f>Неделя!D32</f>
        <v>1</v>
      </c>
      <c r="E32" s="14">
        <f>Неделя!E32</f>
        <v>0</v>
      </c>
      <c r="F32" s="14">
        <f>Неделя!F32</f>
        <v>0</v>
      </c>
      <c r="G32" s="14">
        <f>Неделя!G32</f>
        <v>0</v>
      </c>
      <c r="H32" s="14">
        <f>Неделя!I32</f>
        <v>1</v>
      </c>
      <c r="I32" s="14">
        <f>Неделя!O32</f>
        <v>1.2749999999999999</v>
      </c>
    </row>
    <row r="33" spans="1:256">
      <c r="A33" s="15" t="str">
        <f>Неделя!A33</f>
        <v>Тп 2х180</v>
      </c>
      <c r="B33" s="14">
        <f>Неделя!B33</f>
        <v>4.1399999999999997</v>
      </c>
      <c r="C33" s="14">
        <f>Неделя!C33</f>
        <v>2</v>
      </c>
      <c r="D33" s="14">
        <f>Неделя!D33</f>
        <v>0</v>
      </c>
      <c r="E33" s="14">
        <f>Неделя!E33</f>
        <v>0</v>
      </c>
      <c r="F33" s="14">
        <f>Неделя!F33</f>
        <v>0</v>
      </c>
      <c r="G33" s="14">
        <f>Неделя!G33</f>
        <v>0</v>
      </c>
      <c r="H33" s="14">
        <f>Неделя!I33</f>
        <v>1</v>
      </c>
      <c r="I33" s="14">
        <f>Неделя!O33</f>
        <v>4.1399999999999997</v>
      </c>
    </row>
    <row r="34" spans="1:256">
      <c r="A34" s="15" t="str">
        <f>Неделя!A34</f>
        <v>Хлеб да мясо 150 резаный хороший </v>
      </c>
      <c r="B34" s="14">
        <f>Неделя!B34</f>
        <v>1.2749999999999999</v>
      </c>
      <c r="C34" s="14">
        <f>Неделя!C34</f>
        <v>0</v>
      </c>
      <c r="D34" s="14">
        <f>Неделя!D34</f>
        <v>1</v>
      </c>
      <c r="E34" s="14">
        <f>Неделя!E34</f>
        <v>0</v>
      </c>
      <c r="F34" s="14">
        <f>Неделя!F34</f>
        <v>0</v>
      </c>
      <c r="G34" s="14">
        <f>Неделя!G34</f>
        <v>0</v>
      </c>
      <c r="H34" s="14">
        <f>Неделя!I34</f>
        <v>1</v>
      </c>
      <c r="I34" s="14">
        <f>Неделя!O34</f>
        <v>1.2749999999999999</v>
      </c>
    </row>
    <row r="35" spans="1:256">
      <c r="A35" s="15" t="str">
        <f>Неделя!A35</f>
        <v>Яхонт ленина 150</v>
      </c>
      <c r="B35" s="14">
        <f>Неделя!B35</f>
        <v>1.2749999999999999</v>
      </c>
      <c r="C35" s="14">
        <f>Неделя!C35</f>
        <v>0</v>
      </c>
      <c r="D35" s="14">
        <f>Неделя!D35</f>
        <v>1</v>
      </c>
      <c r="E35" s="14">
        <f>Неделя!E35</f>
        <v>0</v>
      </c>
      <c r="F35" s="14">
        <f>Неделя!F35</f>
        <v>0</v>
      </c>
      <c r="G35" s="14">
        <f>Неделя!G35</f>
        <v>0</v>
      </c>
      <c r="H35" s="14">
        <f>Неделя!I35</f>
        <v>1</v>
      </c>
      <c r="I35" s="14">
        <f>Неделя!O35</f>
        <v>1.2749999999999999</v>
      </c>
    </row>
    <row r="36" spans="1:256" hidden="1">
      <c r="A36" t="str">
        <f>Неделя!A36</f>
        <v>Авангард банк красина 180 сер. 1 шт</v>
      </c>
      <c r="B36">
        <f>Неделя!B36</f>
        <v>2.0699999999999998</v>
      </c>
      <c r="C36">
        <f>Неделя!C36</f>
        <v>1</v>
      </c>
      <c r="D36">
        <f>Неделя!D36</f>
        <v>0</v>
      </c>
      <c r="E36">
        <f>Неделя!E36</f>
        <v>0</v>
      </c>
      <c r="F36">
        <f>Неделя!F36</f>
        <v>0</v>
      </c>
      <c r="G36">
        <f>Неделя!G36</f>
        <v>0</v>
      </c>
      <c r="H36">
        <f>Неделя!I36</f>
        <v>0</v>
      </c>
      <c r="I36">
        <f>Неделя!O36</f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15" t="str">
        <f>Неделя!A37</f>
        <v>Альфа банк гоголя 180</v>
      </c>
      <c r="B37" s="14">
        <f>Неделя!B37</f>
        <v>2.0699999999999998</v>
      </c>
      <c r="C37" s="14">
        <f>Неделя!C37</f>
        <v>1</v>
      </c>
      <c r="D37" s="14">
        <f>Неделя!D37</f>
        <v>0</v>
      </c>
      <c r="E37" s="14">
        <f>Неделя!E37</f>
        <v>0</v>
      </c>
      <c r="F37" s="14">
        <f>Неделя!F37</f>
        <v>0</v>
      </c>
      <c r="G37" s="14">
        <f>Неделя!G37</f>
        <v>0</v>
      </c>
      <c r="H37" s="14">
        <f>Неделя!I37</f>
        <v>1</v>
      </c>
      <c r="I37" s="14">
        <f>Неделя!O37</f>
        <v>2.0699999999999998</v>
      </c>
    </row>
    <row r="38" spans="1:256" hidden="1">
      <c r="A38" t="str">
        <f>Неделя!A38</f>
        <v>Альфа банк Гоголя-красина 150 сер.нов.1 шт.</v>
      </c>
      <c r="B38">
        <f>Неделя!B38</f>
        <v>1.2749999999999999</v>
      </c>
      <c r="C38">
        <f>Неделя!C38</f>
        <v>0</v>
      </c>
      <c r="D38">
        <f>Неделя!D38</f>
        <v>1</v>
      </c>
      <c r="E38">
        <f>Неделя!E38</f>
        <v>0</v>
      </c>
      <c r="F38">
        <f>Неделя!F38</f>
        <v>0</v>
      </c>
      <c r="G38">
        <f>Неделя!G38</f>
        <v>0</v>
      </c>
      <c r="H38">
        <f>Неделя!I38</f>
        <v>0</v>
      </c>
      <c r="I38">
        <f>Неделя!O38</f>
        <v>0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>
      <c r="A39" s="15" t="str">
        <f>Неделя!A39</f>
        <v>Альфа мед гоголя-2х180</v>
      </c>
      <c r="B39" s="14">
        <f>Неделя!B39</f>
        <v>4.1399999999999997</v>
      </c>
      <c r="C39" s="14">
        <f>Неделя!C39</f>
        <v>2</v>
      </c>
      <c r="D39" s="14">
        <f>Неделя!D39</f>
        <v>0</v>
      </c>
      <c r="E39" s="14">
        <f>Неделя!E39</f>
        <v>0</v>
      </c>
      <c r="F39" s="14">
        <f>Неделя!F39</f>
        <v>0</v>
      </c>
      <c r="G39" s="14">
        <f>Неделя!G39</f>
        <v>0</v>
      </c>
      <c r="H39" s="14">
        <f>Неделя!I39</f>
        <v>1</v>
      </c>
      <c r="I39" s="14">
        <f>Неделя!O39</f>
        <v>4.1399999999999997</v>
      </c>
    </row>
    <row r="40" spans="1:256" hidden="1">
      <c r="A40" t="str">
        <f>Неделя!A40</f>
        <v>Альфа мед к.маркса -2х180,(ц.зд. Женщины, кометология)</v>
      </c>
      <c r="B40">
        <f>Неделя!B40</f>
        <v>4.1399999999999997</v>
      </c>
      <c r="C40">
        <f>Неделя!C40</f>
        <v>2</v>
      </c>
      <c r="D40">
        <f>Неделя!D40</f>
        <v>0</v>
      </c>
      <c r="E40">
        <f>Неделя!E40</f>
        <v>0</v>
      </c>
      <c r="F40">
        <f>Неделя!F40</f>
        <v>0</v>
      </c>
      <c r="G40">
        <f>Неделя!G40</f>
        <v>0</v>
      </c>
      <c r="H40">
        <f>Неделя!I40</f>
        <v>0</v>
      </c>
      <c r="I40">
        <f>Неделя!O40</f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hidden="1">
      <c r="A41" t="str">
        <f>Неделя!A41</f>
        <v>Аннушка куйбышева 180</v>
      </c>
      <c r="B41">
        <f>Неделя!B41</f>
        <v>2.0699999999999998</v>
      </c>
      <c r="C41">
        <f>Неделя!C41</f>
        <v>1</v>
      </c>
      <c r="D41">
        <f>Неделя!D41</f>
        <v>0</v>
      </c>
      <c r="E41">
        <f>Неделя!E41</f>
        <v>0</v>
      </c>
      <c r="F41">
        <f>Неделя!F41</f>
        <v>0</v>
      </c>
      <c r="G41">
        <f>Неделя!G41</f>
        <v>0</v>
      </c>
      <c r="H41">
        <f>Неделя!I41</f>
        <v>0</v>
      </c>
      <c r="I41">
        <f>Неделя!O41</f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15" t="str">
        <f>Неделя!A42</f>
        <v>Аптека гоголя 37-150 </v>
      </c>
      <c r="B42" s="14">
        <f>Неделя!B42</f>
        <v>1.2749999999999999</v>
      </c>
      <c r="C42" s="14">
        <f>Неделя!C42</f>
        <v>0</v>
      </c>
      <c r="D42" s="14">
        <f>Неделя!D42</f>
        <v>1</v>
      </c>
      <c r="E42" s="14">
        <f>Неделя!E42</f>
        <v>0</v>
      </c>
      <c r="F42" s="14">
        <f>Неделя!F42</f>
        <v>0</v>
      </c>
      <c r="G42" s="14">
        <f>Неделя!G42</f>
        <v>0</v>
      </c>
      <c r="H42" s="14">
        <f>Неделя!I42</f>
        <v>1</v>
      </c>
      <c r="I42" s="14">
        <f>Неделя!O42</f>
        <v>1.2749999999999999</v>
      </c>
    </row>
    <row r="43" spans="1:256" hidden="1">
      <c r="A43" t="str">
        <f>Неделя!A43</f>
        <v>Аптека гоголя 9-150</v>
      </c>
      <c r="B43">
        <f>Неделя!B43</f>
        <v>1.2749999999999999</v>
      </c>
      <c r="C43">
        <f>Неделя!C43</f>
        <v>0</v>
      </c>
      <c r="D43">
        <f>Неделя!D43</f>
        <v>1</v>
      </c>
      <c r="E43">
        <f>Неделя!E43</f>
        <v>0</v>
      </c>
      <c r="F43">
        <f>Неделя!F43</f>
        <v>0</v>
      </c>
      <c r="G43">
        <f>Неделя!G43</f>
        <v>0</v>
      </c>
      <c r="H43">
        <f>Неделя!I43</f>
        <v>0</v>
      </c>
      <c r="I43">
        <f>Неделя!O43</f>
        <v>0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15" t="str">
        <f>Неделя!A44</f>
        <v>Аптека ленина 5-150</v>
      </c>
      <c r="B44" s="14">
        <f>Неделя!B44</f>
        <v>1.2749999999999999</v>
      </c>
      <c r="C44" s="14">
        <f>Неделя!C44</f>
        <v>0</v>
      </c>
      <c r="D44" s="14">
        <f>Неделя!D44</f>
        <v>1</v>
      </c>
      <c r="E44" s="14">
        <f>Неделя!E44</f>
        <v>0</v>
      </c>
      <c r="F44" s="14">
        <f>Неделя!F44</f>
        <v>0</v>
      </c>
      <c r="G44" s="14">
        <f>Неделя!G44</f>
        <v>0</v>
      </c>
      <c r="H44" s="14">
        <f>Неделя!I44</f>
        <v>1</v>
      </c>
      <c r="I44" s="14">
        <f>Неделя!O44</f>
        <v>1.2749999999999999</v>
      </c>
    </row>
    <row r="45" spans="1:256">
      <c r="A45" s="15" t="str">
        <f>Неделя!A45</f>
        <v>Аптека пушкина 91-2х150</v>
      </c>
      <c r="B45" s="14">
        <f>Неделя!B45</f>
        <v>2.5499999999999998</v>
      </c>
      <c r="C45" s="14">
        <f>Неделя!C45</f>
        <v>0</v>
      </c>
      <c r="D45" s="14">
        <f>Неделя!D45</f>
        <v>2</v>
      </c>
      <c r="E45" s="14">
        <f>Неделя!E45</f>
        <v>0</v>
      </c>
      <c r="F45" s="14">
        <f>Неделя!F45</f>
        <v>0</v>
      </c>
      <c r="G45" s="14">
        <f>Неделя!G45</f>
        <v>0</v>
      </c>
      <c r="H45" s="14">
        <f>Неделя!I45</f>
        <v>1</v>
      </c>
      <c r="I45" s="14">
        <f>Неделя!O45</f>
        <v>2.5499999999999998</v>
      </c>
    </row>
    <row r="46" spans="1:256" hidden="1">
      <c r="A46" t="str">
        <f>Неделя!A46</f>
        <v>Атлант кирова 250 </v>
      </c>
      <c r="B46">
        <f>Неделя!B46</f>
        <v>3.7</v>
      </c>
      <c r="C46">
        <f>Неделя!C46</f>
        <v>0</v>
      </c>
      <c r="D46">
        <f>Неделя!D46</f>
        <v>0</v>
      </c>
      <c r="E46">
        <f>Неделя!E46</f>
        <v>1</v>
      </c>
      <c r="F46">
        <f>Неделя!F46</f>
        <v>0</v>
      </c>
      <c r="G46">
        <f>Неделя!G46</f>
        <v>0</v>
      </c>
      <c r="H46">
        <f>Неделя!I46</f>
        <v>0</v>
      </c>
      <c r="I46">
        <f>Неделя!O46</f>
        <v>0</v>
      </c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ht="18.2" customHeight="1">
      <c r="A47" s="15" t="str">
        <f>Неделя!A47</f>
        <v>Банк России 180   2шт</v>
      </c>
      <c r="B47" s="15">
        <f>Неделя!B47</f>
        <v>4.1399999999999997</v>
      </c>
      <c r="C47" s="14">
        <f>Неделя!C47</f>
        <v>2</v>
      </c>
      <c r="D47" s="14">
        <f>Неделя!D47</f>
        <v>2</v>
      </c>
      <c r="E47" s="14">
        <f>Неделя!E47</f>
        <v>0</v>
      </c>
      <c r="F47" s="14">
        <f>Неделя!F47</f>
        <v>0</v>
      </c>
      <c r="G47" s="14">
        <f>Неделя!G47</f>
        <v>0</v>
      </c>
      <c r="H47" s="14">
        <f>Неделя!I47</f>
        <v>1</v>
      </c>
      <c r="I47" s="14">
        <f>Неделя!O47</f>
        <v>4.1399999999999997</v>
      </c>
    </row>
    <row r="48" spans="1:256">
      <c r="A48" s="15" t="str">
        <f>Неделя!A48</f>
        <v>Баон 150</v>
      </c>
      <c r="B48" s="15">
        <f>Неделя!B48</f>
        <v>1.2749999999999999</v>
      </c>
      <c r="C48" s="14">
        <f>Неделя!C48</f>
        <v>0</v>
      </c>
      <c r="D48" s="14">
        <f>Неделя!D48</f>
        <v>1</v>
      </c>
      <c r="E48" s="14">
        <f>Неделя!E48</f>
        <v>0</v>
      </c>
      <c r="F48" s="14">
        <f>Неделя!F48</f>
        <v>0</v>
      </c>
      <c r="G48" s="14">
        <f>Неделя!G48</f>
        <v>0</v>
      </c>
      <c r="H48" s="14">
        <f>Неделя!I48</f>
        <v>1</v>
      </c>
      <c r="I48" s="14">
        <f>Неделя!O48</f>
        <v>1.2749999999999999</v>
      </c>
    </row>
    <row r="49" spans="1:256" hidden="1">
      <c r="A49" t="str">
        <f>Неделя!A49</f>
        <v>Буше горького 150</v>
      </c>
      <c r="B49">
        <f>Неделя!B49</f>
        <v>1.2749999999999999</v>
      </c>
      <c r="C49">
        <f>Неделя!C49</f>
        <v>0</v>
      </c>
      <c r="D49">
        <f>Неделя!D49</f>
        <v>1</v>
      </c>
      <c r="E49">
        <f>Неделя!E49</f>
        <v>0</v>
      </c>
      <c r="F49">
        <f>Неделя!F49</f>
        <v>0</v>
      </c>
      <c r="G49">
        <f>Неделя!G49</f>
        <v>0</v>
      </c>
      <c r="H49">
        <f>Неделя!I49</f>
        <v>0</v>
      </c>
      <c r="I49">
        <f>Неделя!O49</f>
        <v>0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 spans="1:256" hidden="1">
      <c r="A50" t="str">
        <f>Неделя!A50</f>
        <v>Буше красина  150 нов</v>
      </c>
      <c r="B50">
        <f>Неделя!B50</f>
        <v>1.2749999999999999</v>
      </c>
      <c r="C50">
        <f>Неделя!C50</f>
        <v>0</v>
      </c>
      <c r="D50">
        <f>Неделя!D50</f>
        <v>1</v>
      </c>
      <c r="E50">
        <f>Неделя!E50</f>
        <v>0</v>
      </c>
      <c r="F50">
        <f>Неделя!F50</f>
        <v>0</v>
      </c>
      <c r="G50">
        <f>Неделя!G50</f>
        <v>0</v>
      </c>
      <c r="H50">
        <f>Неделя!I50</f>
        <v>0</v>
      </c>
      <c r="I50">
        <f>Неделя!O50</f>
        <v>0</v>
      </c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>
      <c r="A51" s="15" t="str">
        <f>Неделя!A51</f>
        <v>Втб гоголя-250</v>
      </c>
      <c r="B51" s="15">
        <f>Неделя!B51</f>
        <v>3.7</v>
      </c>
      <c r="C51" s="14">
        <f>Неделя!C51</f>
        <v>0</v>
      </c>
      <c r="D51" s="14">
        <f>Неделя!D51</f>
        <v>0</v>
      </c>
      <c r="E51" s="14">
        <f>Неделя!E51</f>
        <v>0</v>
      </c>
      <c r="F51" s="14">
        <f>Неделя!F51</f>
        <v>0</v>
      </c>
      <c r="G51" s="14">
        <f>Неделя!G51</f>
        <v>1</v>
      </c>
      <c r="H51" s="14">
        <f>Неделя!I51</f>
        <v>1</v>
      </c>
      <c r="I51" s="14">
        <f>Неделя!O51</f>
        <v>3.7</v>
      </c>
    </row>
    <row r="52" spans="1:256" hidden="1">
      <c r="A52" t="str">
        <f>Неделя!A52</f>
        <v>Втб куйбышева 180</v>
      </c>
      <c r="B52">
        <f>Неделя!B52</f>
        <v>2.0699999999999998</v>
      </c>
      <c r="C52">
        <f>Неделя!C52</f>
        <v>1</v>
      </c>
      <c r="D52">
        <f>Неделя!D52</f>
        <v>0</v>
      </c>
      <c r="E52">
        <f>Неделя!E52</f>
        <v>0</v>
      </c>
      <c r="F52">
        <f>Неделя!F52</f>
        <v>0</v>
      </c>
      <c r="G52">
        <f>Неделя!G52</f>
        <v>0</v>
      </c>
      <c r="H52">
        <f>Неделя!I52</f>
        <v>0</v>
      </c>
      <c r="I52">
        <f>Неделя!O52</f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>
      <c r="A53" s="15" t="str">
        <f>Неделя!A53</f>
        <v>Газпром банк гоголя-180 </v>
      </c>
      <c r="B53" s="15">
        <f>Неделя!B53</f>
        <v>2.0699999999999998</v>
      </c>
      <c r="C53" s="14">
        <f>Неделя!C53</f>
        <v>1</v>
      </c>
      <c r="D53" s="14">
        <f>Неделя!D53</f>
        <v>0</v>
      </c>
      <c r="E53" s="14">
        <f>Неделя!E53</f>
        <v>0</v>
      </c>
      <c r="F53" s="14">
        <f>Неделя!F53</f>
        <v>0</v>
      </c>
      <c r="G53" s="14">
        <f>Неделя!G53</f>
        <v>0</v>
      </c>
      <c r="H53" s="14">
        <f>Неделя!I53</f>
        <v>1</v>
      </c>
      <c r="I53" s="14">
        <f>Неделя!O53</f>
        <v>2.0699999999999998</v>
      </c>
    </row>
    <row r="54" spans="1:256" hidden="1">
      <c r="A54" t="str">
        <f>Неделя!A54</f>
        <v>Друзья друзей 2х150</v>
      </c>
      <c r="B54">
        <f>Неделя!B54</f>
        <v>2.5499999999999998</v>
      </c>
      <c r="C54">
        <f>Неделя!C54</f>
        <v>2</v>
      </c>
      <c r="D54">
        <f>Неделя!D54</f>
        <v>0</v>
      </c>
      <c r="E54">
        <f>Неделя!E54</f>
        <v>0</v>
      </c>
      <c r="F54">
        <f>Неделя!F54</f>
        <v>0</v>
      </c>
      <c r="G54">
        <f>Неделя!G54</f>
        <v>0</v>
      </c>
      <c r="H54">
        <f>Неделя!I54</f>
        <v>0</v>
      </c>
      <c r="I54">
        <f>Неделя!O54</f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15" t="str">
        <f>Неделя!A55</f>
        <v>Жизнь март пролетарская -180</v>
      </c>
      <c r="B55" s="15">
        <f>Неделя!B55</f>
        <v>2.0699999999999998</v>
      </c>
      <c r="C55" s="14">
        <f>Неделя!C55</f>
        <v>1</v>
      </c>
      <c r="D55" s="14">
        <f>Неделя!D55</f>
        <v>0</v>
      </c>
      <c r="E55" s="14">
        <f>Неделя!E55</f>
        <v>0</v>
      </c>
      <c r="F55" s="14">
        <f>Неделя!F55</f>
        <v>0</v>
      </c>
      <c r="G55" s="14">
        <f>Неделя!G55</f>
        <v>0</v>
      </c>
      <c r="H55" s="14">
        <f>Неделя!I55</f>
        <v>1</v>
      </c>
      <c r="I55" s="14">
        <f>Неделя!O55</f>
        <v>2.0699999999999998</v>
      </c>
    </row>
    <row r="56" spans="1:256">
      <c r="A56" s="15" t="str">
        <f>Неделя!A56</f>
        <v>инвитро красина-3х150 новые</v>
      </c>
      <c r="B56" s="15">
        <f>Неделя!B56</f>
        <v>3.8249999999999997</v>
      </c>
      <c r="C56" s="14">
        <f>Неделя!C56</f>
        <v>0</v>
      </c>
      <c r="D56" s="14">
        <f>Неделя!D56</f>
        <v>3</v>
      </c>
      <c r="E56" s="14">
        <f>Неделя!E56</f>
        <v>0</v>
      </c>
      <c r="F56" s="14">
        <f>Неделя!F56</f>
        <v>0</v>
      </c>
      <c r="G56" s="14">
        <f>Неделя!G56</f>
        <v>0</v>
      </c>
      <c r="H56" s="14">
        <f>Неделя!I56</f>
        <v>1</v>
      </c>
      <c r="I56" s="14">
        <f>Неделя!O56</f>
        <v>3.8249999999999997</v>
      </c>
    </row>
    <row r="57" spans="1:256" hidden="1">
      <c r="A57" t="str">
        <f>Неделя!A57</f>
        <v>Инвитро ленина-2х150 новые стелим на себя</v>
      </c>
      <c r="B57">
        <f>Неделя!B57</f>
        <v>2.5499999999999998</v>
      </c>
      <c r="C57">
        <f>Неделя!C57</f>
        <v>0</v>
      </c>
      <c r="D57">
        <f>Неделя!D57</f>
        <v>2</v>
      </c>
      <c r="E57">
        <f>Неделя!E57</f>
        <v>0</v>
      </c>
      <c r="F57">
        <f>Неделя!F57</f>
        <v>0</v>
      </c>
      <c r="G57">
        <f>Неделя!G57</f>
        <v>0</v>
      </c>
      <c r="H57">
        <f>Неделя!I57</f>
        <v>0</v>
      </c>
      <c r="I57">
        <f>Неделя!O57</f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>
      <c r="A58" s="15" t="str">
        <f>Неделя!A58</f>
        <v>Курган Доставка</v>
      </c>
      <c r="B58" s="15">
        <f>Неделя!B58</f>
        <v>1.2749999999999999</v>
      </c>
      <c r="C58" s="14">
        <f>Неделя!C58</f>
        <v>0</v>
      </c>
      <c r="D58" s="14">
        <f>Неделя!D58</f>
        <v>1</v>
      </c>
      <c r="E58" s="14">
        <f>Неделя!E58</f>
        <v>0</v>
      </c>
      <c r="F58" s="14">
        <f>Неделя!F58</f>
        <v>0</v>
      </c>
      <c r="G58" s="14">
        <f>Неделя!G58</f>
        <v>0</v>
      </c>
      <c r="H58" s="14">
        <f>Неделя!I58</f>
        <v>1</v>
      </c>
      <c r="I58" s="14">
        <f>Неделя!O58</f>
        <v>1.2749999999999999</v>
      </c>
    </row>
    <row r="59" spans="1:256">
      <c r="A59" s="15" t="str">
        <f>Неделя!A59</f>
        <v>Летуаль 180</v>
      </c>
      <c r="B59" s="15">
        <f>Неделя!B59</f>
        <v>2.0699999999999998</v>
      </c>
      <c r="C59" s="14">
        <f>Неделя!C59</f>
        <v>1</v>
      </c>
      <c r="D59" s="14">
        <f>Неделя!D59</f>
        <v>0</v>
      </c>
      <c r="E59" s="14">
        <f>Неделя!E59</f>
        <v>0</v>
      </c>
      <c r="F59" s="14">
        <f>Неделя!F59</f>
        <v>0</v>
      </c>
      <c r="G59" s="14">
        <f>Неделя!G59</f>
        <v>0</v>
      </c>
      <c r="H59" s="14">
        <f>Неделя!I59</f>
        <v>1</v>
      </c>
      <c r="I59" s="14">
        <f>Неделя!O59</f>
        <v>2.0699999999999998</v>
      </c>
    </row>
    <row r="60" spans="1:256" hidden="1">
      <c r="A60" t="str">
        <f>Неделя!A60</f>
        <v>М.горького 40  180*2</v>
      </c>
      <c r="B60">
        <f>Неделя!B60</f>
        <v>4.1399999999999997</v>
      </c>
      <c r="C60">
        <f>Неделя!C60</f>
        <v>2</v>
      </c>
      <c r="D60">
        <f>Неделя!D60</f>
        <v>0</v>
      </c>
      <c r="E60">
        <f>Неделя!E60</f>
        <v>0</v>
      </c>
      <c r="F60">
        <f>Неделя!F60</f>
        <v>0</v>
      </c>
      <c r="G60">
        <f>Неделя!G60</f>
        <v>0</v>
      </c>
      <c r="H60">
        <f>Неделя!I60</f>
        <v>0</v>
      </c>
      <c r="I60">
        <f>Неделя!O60</f>
        <v>0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idden="1">
      <c r="A61" t="str">
        <f>Неделя!A61</f>
        <v>Магнит Володарского 180 </v>
      </c>
      <c r="B61">
        <f>Неделя!B61</f>
        <v>2.0699999999999998</v>
      </c>
      <c r="C61">
        <f>Неделя!C61</f>
        <v>1</v>
      </c>
      <c r="D61">
        <f>Неделя!D61</f>
        <v>0</v>
      </c>
      <c r="E61">
        <f>Неделя!E61</f>
        <v>0</v>
      </c>
      <c r="F61">
        <f>Неделя!F61</f>
        <v>0</v>
      </c>
      <c r="G61">
        <f>Неделя!G61</f>
        <v>0</v>
      </c>
      <c r="H61">
        <f>Неделя!I61</f>
        <v>0</v>
      </c>
      <c r="I61">
        <f>Неделя!O61</f>
        <v>0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>
      <c r="A62" s="15" t="str">
        <f>Неделя!A62</f>
        <v>Магнит гоголя 38-180</v>
      </c>
      <c r="B62" s="15">
        <f>Неделя!B62</f>
        <v>2.0699999999999998</v>
      </c>
      <c r="C62" s="14">
        <f>Неделя!C62</f>
        <v>1</v>
      </c>
      <c r="D62" s="14">
        <f>Неделя!D62</f>
        <v>0</v>
      </c>
      <c r="E62" s="14">
        <f>Неделя!E62</f>
        <v>0</v>
      </c>
      <c r="F62" s="14">
        <f>Неделя!F62</f>
        <v>0</v>
      </c>
      <c r="G62" s="14">
        <f>Неделя!G62</f>
        <v>0</v>
      </c>
      <c r="H62" s="14">
        <f>Неделя!I62</f>
        <v>1</v>
      </c>
      <c r="I62" s="14">
        <f>Неделя!O62</f>
        <v>2.0699999999999998</v>
      </c>
    </row>
    <row r="63" spans="1:256">
      <c r="A63" s="15" t="str">
        <f>Неделя!A63</f>
        <v>Магнит гоголя 66-180</v>
      </c>
      <c r="B63" s="15">
        <f>Неделя!B63</f>
        <v>2.0699999999999998</v>
      </c>
      <c r="C63" s="14">
        <f>Неделя!C63</f>
        <v>1</v>
      </c>
      <c r="D63" s="14">
        <f>Неделя!D63</f>
        <v>0</v>
      </c>
      <c r="E63" s="14">
        <f>Неделя!E63</f>
        <v>0</v>
      </c>
      <c r="F63" s="14">
        <f>Неделя!F63</f>
        <v>0</v>
      </c>
      <c r="G63" s="14">
        <f>Неделя!G63</f>
        <v>0</v>
      </c>
      <c r="H63" s="14">
        <f>Неделя!I63</f>
        <v>1</v>
      </c>
      <c r="I63" s="14">
        <f>Неделя!O63</f>
        <v>2.0699999999999998</v>
      </c>
    </row>
    <row r="64" spans="1:256">
      <c r="A64" s="15" t="str">
        <f>Неделя!A64</f>
        <v>Магнит Гоголя 76 180</v>
      </c>
      <c r="B64" s="15">
        <f>Неделя!B64</f>
        <v>2.0699999999999998</v>
      </c>
      <c r="C64" s="14">
        <f>Неделя!C64</f>
        <v>1</v>
      </c>
      <c r="D64" s="14">
        <f>Неделя!D64</f>
        <v>0</v>
      </c>
      <c r="E64" s="14">
        <f>Неделя!E64</f>
        <v>0</v>
      </c>
      <c r="F64" s="14">
        <f>Неделя!F64</f>
        <v>0</v>
      </c>
      <c r="G64" s="14">
        <f>Неделя!G64</f>
        <v>0</v>
      </c>
      <c r="H64" s="14">
        <f>Неделя!I64</f>
        <v>1</v>
      </c>
      <c r="I64" s="14">
        <f>Неделя!O64</f>
        <v>2.0699999999999998</v>
      </c>
    </row>
    <row r="65" spans="1:256" hidden="1">
      <c r="A65" t="str">
        <f>Неделя!A65</f>
        <v>Магнит К.маркса 180</v>
      </c>
      <c r="B65">
        <f>Неделя!B65</f>
        <v>2.0699999999999998</v>
      </c>
      <c r="C65">
        <f>Неделя!C65</f>
        <v>1</v>
      </c>
      <c r="D65">
        <f>Неделя!D65</f>
        <v>0</v>
      </c>
      <c r="E65">
        <f>Неделя!E65</f>
        <v>0</v>
      </c>
      <c r="F65">
        <f>Неделя!F65</f>
        <v>0</v>
      </c>
      <c r="G65">
        <f>Неделя!G65</f>
        <v>0</v>
      </c>
      <c r="H65">
        <f>Неделя!I65</f>
        <v>0</v>
      </c>
      <c r="I65">
        <f>Неделя!O65</f>
        <v>0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 spans="1:256" hidden="1">
      <c r="A66" t="str">
        <f>Неделя!A66</f>
        <v>магнит красина 180</v>
      </c>
      <c r="B66">
        <f>Неделя!B66</f>
        <v>2.0699999999999998</v>
      </c>
      <c r="C66">
        <f>Неделя!C66</f>
        <v>1</v>
      </c>
      <c r="D66">
        <f>Неделя!D66</f>
        <v>0</v>
      </c>
      <c r="E66">
        <f>Неделя!E66</f>
        <v>0</v>
      </c>
      <c r="F66">
        <f>Неделя!F66</f>
        <v>0</v>
      </c>
      <c r="G66">
        <f>Неделя!G66</f>
        <v>0</v>
      </c>
      <c r="H66">
        <f>Неделя!I66</f>
        <v>0</v>
      </c>
      <c r="I66">
        <f>Неделя!O66</f>
        <v>0</v>
      </c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</row>
    <row r="67" spans="1:256">
      <c r="A67" s="15" t="str">
        <f>Неделя!A67</f>
        <v>Магнит советская 39 180</v>
      </c>
      <c r="B67" s="15">
        <f>Неделя!B67</f>
        <v>2.0699999999999998</v>
      </c>
      <c r="C67" s="14">
        <f>Неделя!C67</f>
        <v>1</v>
      </c>
      <c r="D67" s="14">
        <f>Неделя!D67</f>
        <v>0</v>
      </c>
      <c r="E67" s="14">
        <f>Неделя!E67</f>
        <v>0</v>
      </c>
      <c r="F67" s="14">
        <f>Неделя!F67</f>
        <v>0</v>
      </c>
      <c r="G67" s="14">
        <f>Неделя!G67</f>
        <v>0</v>
      </c>
      <c r="H67" s="14">
        <f>Неделя!I67</f>
        <v>1</v>
      </c>
      <c r="I67" s="14">
        <f>Неделя!O67</f>
        <v>2.0699999999999998</v>
      </c>
    </row>
    <row r="68" spans="1:256">
      <c r="A68" s="15" t="str">
        <f>Неделя!A68</f>
        <v>Магнит советская 40 180</v>
      </c>
      <c r="B68" s="15">
        <f>Неделя!B68</f>
        <v>2.0699999999999998</v>
      </c>
      <c r="C68" s="14">
        <f>Неделя!C68</f>
        <v>1</v>
      </c>
      <c r="D68" s="14">
        <f>Неделя!D68</f>
        <v>0</v>
      </c>
      <c r="E68" s="14">
        <f>Неделя!E68</f>
        <v>0</v>
      </c>
      <c r="F68" s="14">
        <f>Неделя!F68</f>
        <v>0</v>
      </c>
      <c r="G68" s="14">
        <f>Неделя!G68</f>
        <v>0</v>
      </c>
      <c r="H68" s="14">
        <f>Неделя!I68</f>
        <v>1</v>
      </c>
      <c r="I68" s="14">
        <f>Неделя!O68</f>
        <v>2.0699999999999998</v>
      </c>
    </row>
    <row r="69" spans="1:256" hidden="1">
      <c r="A69" t="str">
        <f>Неделя!A69</f>
        <v>Мегафон советская 2х150 рез</v>
      </c>
      <c r="B69">
        <f>Неделя!B69</f>
        <v>2.5499999999999998</v>
      </c>
      <c r="C69">
        <f>Неделя!C69</f>
        <v>0</v>
      </c>
      <c r="D69">
        <f>Неделя!D69</f>
        <v>2</v>
      </c>
      <c r="E69">
        <f>Неделя!E69</f>
        <v>0</v>
      </c>
      <c r="F69">
        <f>Неделя!F69</f>
        <v>0</v>
      </c>
      <c r="G69">
        <f>Неделя!G69</f>
        <v>0</v>
      </c>
      <c r="H69">
        <f>Неделя!I69</f>
        <v>0</v>
      </c>
      <c r="I69">
        <f>Неделя!O69</f>
        <v>0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idden="1">
      <c r="A70">
        <f>Неделя!A70</f>
        <v>0</v>
      </c>
      <c r="B70">
        <f>Неделя!B70</f>
        <v>0</v>
      </c>
      <c r="C70">
        <f>Неделя!C70</f>
        <v>0</v>
      </c>
      <c r="D70">
        <f>Неделя!D70</f>
        <v>0</v>
      </c>
      <c r="E70">
        <f>Неделя!E70</f>
        <v>0</v>
      </c>
      <c r="F70">
        <f>Неделя!F70</f>
        <v>0</v>
      </c>
      <c r="G70">
        <f>Неделя!G70</f>
        <v>0</v>
      </c>
      <c r="H70">
        <f>Неделя!I70</f>
        <v>0</v>
      </c>
      <c r="I70">
        <f>Неделя!O70</f>
        <v>0</v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>
      <c r="A71" s="15" t="str">
        <f>Неделя!A71</f>
        <v>мтс гоголя 53 - 180серый 1</v>
      </c>
      <c r="B71" s="15">
        <f>Неделя!B71</f>
        <v>2.0699999999999998</v>
      </c>
      <c r="C71" s="14">
        <f>Неделя!C71</f>
        <v>1</v>
      </c>
      <c r="D71" s="14">
        <f>Неделя!D71</f>
        <v>0</v>
      </c>
      <c r="E71" s="14">
        <f>Неделя!E71</f>
        <v>0</v>
      </c>
      <c r="F71" s="14">
        <f>Неделя!F71</f>
        <v>0</v>
      </c>
      <c r="G71" s="14">
        <f>Неделя!G71</f>
        <v>0</v>
      </c>
      <c r="H71" s="14">
        <f>Неделя!I71</f>
        <v>1</v>
      </c>
      <c r="I71" s="14">
        <f>Неделя!O71</f>
        <v>2.0699999999999998</v>
      </c>
    </row>
    <row r="72" spans="1:256">
      <c r="A72" t="str">
        <f>Неделя!A72</f>
        <v>МТС Пушкина 150</v>
      </c>
      <c r="B72">
        <f>Неделя!B72</f>
        <v>1.2749999999999999</v>
      </c>
      <c r="C72">
        <f>Неделя!C72</f>
        <v>0</v>
      </c>
      <c r="D72">
        <f>Неделя!D72</f>
        <v>0</v>
      </c>
      <c r="E72">
        <f>Неделя!E72</f>
        <v>0</v>
      </c>
      <c r="F72">
        <f>Неделя!F72</f>
        <v>0</v>
      </c>
      <c r="G72">
        <f>Неделя!G72</f>
        <v>0</v>
      </c>
      <c r="H72">
        <f>Неделя!I72</f>
        <v>1</v>
      </c>
      <c r="I72">
        <f>Неделя!O72</f>
        <v>1.2749999999999999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 hidden="1">
      <c r="A73" t="str">
        <f>Неделя!A73</f>
        <v>мтс Пушкина 167- 150</v>
      </c>
      <c r="B73">
        <f>Неделя!B73</f>
        <v>1.2749999999999999</v>
      </c>
      <c r="C73">
        <f>Неделя!C73</f>
        <v>0</v>
      </c>
      <c r="D73">
        <f>Неделя!D73</f>
        <v>1</v>
      </c>
      <c r="E73">
        <f>Неделя!E73</f>
        <v>0</v>
      </c>
      <c r="F73">
        <f>Неделя!F73</f>
        <v>0</v>
      </c>
      <c r="G73">
        <f>Неделя!G73</f>
        <v>0</v>
      </c>
      <c r="H73">
        <f>Неделя!I73</f>
        <v>0</v>
      </c>
      <c r="I73">
        <f>Неделя!O73</f>
        <v>0</v>
      </c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hidden="1">
      <c r="A74" t="str">
        <f>Неделя!A74</f>
        <v>Промсвязь банк 150,180</v>
      </c>
      <c r="B74">
        <f>Неделя!B74</f>
        <v>3.3449999999999998</v>
      </c>
      <c r="C74">
        <f>Неделя!C74</f>
        <v>1</v>
      </c>
      <c r="D74">
        <f>Неделя!D74</f>
        <v>1</v>
      </c>
      <c r="E74">
        <f>Неделя!E74</f>
        <v>0</v>
      </c>
      <c r="F74">
        <f>Неделя!F74</f>
        <v>0</v>
      </c>
      <c r="G74">
        <f>Неделя!G74</f>
        <v>0</v>
      </c>
      <c r="H74">
        <f>Неделя!I74</f>
        <v>0</v>
      </c>
      <c r="I74">
        <f>Неделя!O74</f>
        <v>0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hidden="1">
      <c r="A75" t="str">
        <f>Неделя!A75</f>
        <v>Ресторан СОЛО Куйбышева</v>
      </c>
      <c r="B75">
        <f>Неделя!B75</f>
        <v>1.2569999999999999</v>
      </c>
      <c r="C75">
        <f>Неделя!C75</f>
        <v>0</v>
      </c>
      <c r="D75">
        <f>Неделя!D75</f>
        <v>1</v>
      </c>
      <c r="E75">
        <f>Неделя!E75</f>
        <v>0</v>
      </c>
      <c r="F75">
        <f>Неделя!F75</f>
        <v>0</v>
      </c>
      <c r="G75">
        <f>Неделя!G75</f>
        <v>0</v>
      </c>
      <c r="H75">
        <f>Неделя!I75</f>
        <v>0</v>
      </c>
      <c r="I75">
        <f>Неделя!O75</f>
        <v>0</v>
      </c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>
      <c r="A76" s="15" t="str">
        <f>Неделя!A76</f>
        <v>Теле2 гоголя-150 резаный</v>
      </c>
      <c r="B76" s="15">
        <f>Неделя!B76</f>
        <v>1.2749999999999999</v>
      </c>
      <c r="C76" s="14">
        <f>Неделя!C76</f>
        <v>0</v>
      </c>
      <c r="D76" s="14">
        <f>Неделя!D76</f>
        <v>1</v>
      </c>
      <c r="E76" s="14">
        <f>Неделя!E76</f>
        <v>0</v>
      </c>
      <c r="F76" s="14">
        <f>Неделя!F76</f>
        <v>0</v>
      </c>
      <c r="G76" s="14">
        <f>Неделя!G76</f>
        <v>0</v>
      </c>
      <c r="H76" s="14">
        <f>Неделя!I76</f>
        <v>1</v>
      </c>
      <c r="I76" s="14">
        <f>Неделя!O76</f>
        <v>1.2749999999999999</v>
      </c>
    </row>
    <row r="77" spans="1:256" hidden="1">
      <c r="A77" t="str">
        <f>Неделя!A77</f>
        <v>Томография К. маркса</v>
      </c>
      <c r="B77">
        <f>Неделя!B77</f>
        <v>1.2749999999999999</v>
      </c>
      <c r="C77">
        <f>Неделя!C77</f>
        <v>0</v>
      </c>
      <c r="D77">
        <f>Неделя!D77</f>
        <v>1</v>
      </c>
      <c r="E77">
        <f>Неделя!E77</f>
        <v>0</v>
      </c>
      <c r="F77">
        <f>Неделя!F77</f>
        <v>0</v>
      </c>
      <c r="G77">
        <f>Неделя!G77</f>
        <v>0</v>
      </c>
      <c r="H77">
        <f>Неделя!I77</f>
        <v>0</v>
      </c>
      <c r="I77">
        <f>Неделя!O77</f>
        <v>0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hidden="1">
      <c r="A78" t="str">
        <f>Неделя!A78</f>
        <v>Фикс прайс к.мяготина 180*2</v>
      </c>
      <c r="B78">
        <f>Неделя!B78</f>
        <v>4.1399999999999997</v>
      </c>
      <c r="C78">
        <f>Неделя!C78</f>
        <v>2</v>
      </c>
      <c r="D78">
        <f>Неделя!D78</f>
        <v>0</v>
      </c>
      <c r="E78">
        <f>Неделя!E78</f>
        <v>0</v>
      </c>
      <c r="F78">
        <f>Неделя!F78</f>
        <v>0</v>
      </c>
      <c r="G78">
        <f>Неделя!G78</f>
        <v>0</v>
      </c>
      <c r="H78">
        <f>Неделя!I78</f>
        <v>0</v>
      </c>
      <c r="I78">
        <f>Неделя!O78</f>
        <v>0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</row>
    <row r="79" spans="1:256" hidden="1">
      <c r="A79">
        <f>Неделя!A79</f>
        <v>0</v>
      </c>
      <c r="B79">
        <f>Неделя!B79</f>
        <v>0</v>
      </c>
      <c r="C79">
        <f>Неделя!C79</f>
        <v>0</v>
      </c>
      <c r="D79">
        <f>Неделя!D79</f>
        <v>0</v>
      </c>
      <c r="E79">
        <f>Неделя!E79</f>
        <v>0</v>
      </c>
      <c r="F79">
        <f>Неделя!F79</f>
        <v>0</v>
      </c>
      <c r="G79">
        <f>Неделя!G79</f>
        <v>0</v>
      </c>
      <c r="H79">
        <f>Неделя!I79</f>
        <v>0</v>
      </c>
      <c r="I79">
        <f>Неделя!O79</f>
        <v>0</v>
      </c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5" t="str">
        <f>Неделя!A80</f>
        <v>Фикс советска40-2х180</v>
      </c>
      <c r="B80" s="15">
        <f>Неделя!B80</f>
        <v>4.1399999999999997</v>
      </c>
      <c r="C80" s="14">
        <f>Неделя!C80</f>
        <v>2</v>
      </c>
      <c r="D80" s="14">
        <f>Неделя!D80</f>
        <v>0</v>
      </c>
      <c r="E80" s="14">
        <f>Неделя!E80</f>
        <v>0</v>
      </c>
      <c r="F80" s="14">
        <f>Неделя!F80</f>
        <v>0</v>
      </c>
      <c r="G80" s="14">
        <f>Неделя!G80</f>
        <v>0</v>
      </c>
      <c r="H80" s="14">
        <f>Неделя!I80</f>
        <v>1</v>
      </c>
      <c r="I80" s="14">
        <f>Неделя!O80</f>
        <v>4.1399999999999997</v>
      </c>
    </row>
    <row r="81" spans="1:256">
      <c r="A81" s="15" t="str">
        <f>Неделя!A81</f>
        <v>Чистый квартал 150, 80х80</v>
      </c>
      <c r="B81" s="15">
        <f>Неделя!B81</f>
        <v>2.5499999999999998</v>
      </c>
      <c r="C81" s="14">
        <f>Неделя!C81</f>
        <v>0</v>
      </c>
      <c r="D81" s="14">
        <f>Неделя!D81</f>
        <v>1</v>
      </c>
      <c r="E81" s="14">
        <f>Неделя!E81</f>
        <v>1</v>
      </c>
      <c r="F81" s="14">
        <f>Неделя!F81</f>
        <v>0</v>
      </c>
      <c r="G81" s="14">
        <f>Неделя!G81</f>
        <v>0</v>
      </c>
      <c r="H81" s="14">
        <f>Неделя!I81</f>
        <v>1</v>
      </c>
      <c r="I81" s="14">
        <f>Неделя!O81</f>
        <v>2.5499999999999998</v>
      </c>
    </row>
    <row r="82" spans="1:256">
      <c r="A82" s="15" t="str">
        <f>Неделя!A82</f>
        <v>Япоки гоголя-180</v>
      </c>
      <c r="B82" s="15">
        <f>Неделя!B82</f>
        <v>2.0699999999999998</v>
      </c>
      <c r="C82" s="14">
        <f>Неделя!C82</f>
        <v>1</v>
      </c>
      <c r="D82" s="14">
        <f>Неделя!D82</f>
        <v>0</v>
      </c>
      <c r="E82" s="14">
        <f>Неделя!E82</f>
        <v>0</v>
      </c>
      <c r="F82" s="14">
        <f>Неделя!F82</f>
        <v>0</v>
      </c>
      <c r="G82" s="14">
        <f>Неделя!G82</f>
        <v>0</v>
      </c>
      <c r="H82" s="14">
        <f>Неделя!I82</f>
        <v>1</v>
      </c>
      <c r="I82" s="14">
        <f>Неделя!O82</f>
        <v>2.0699999999999998</v>
      </c>
    </row>
    <row r="83" spans="1:256" hidden="1">
      <c r="A83" t="str">
        <f>Неделя!A83</f>
        <v>4 сезона ленина-180</v>
      </c>
      <c r="B83">
        <f>Неделя!B83</f>
        <v>2.0699999999999998</v>
      </c>
      <c r="C83">
        <f>Неделя!C83</f>
        <v>1</v>
      </c>
      <c r="D83">
        <f>Неделя!D83</f>
        <v>0</v>
      </c>
      <c r="E83">
        <f>Неделя!E83</f>
        <v>0</v>
      </c>
      <c r="F83">
        <f>Неделя!F83</f>
        <v>0</v>
      </c>
      <c r="G83">
        <f>Неделя!G83</f>
        <v>0</v>
      </c>
      <c r="H83">
        <f>Неделя!I83</f>
        <v>0</v>
      </c>
      <c r="I83">
        <f>Неделя!O83</f>
        <v>0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</row>
    <row r="84" spans="1:256" hidden="1">
      <c r="A84" s="15" t="str">
        <f>Неделя!A84</f>
        <v>Александрит 150 рез </v>
      </c>
      <c r="B84" s="15">
        <f>Неделя!B84</f>
        <v>1.2749999999999999</v>
      </c>
      <c r="C84" s="14">
        <f>Неделя!C84</f>
        <v>0</v>
      </c>
      <c r="D84" s="14">
        <f>Неделя!D84</f>
        <v>1</v>
      </c>
      <c r="E84" s="14">
        <f>Неделя!E84</f>
        <v>0</v>
      </c>
      <c r="F84" s="14">
        <f>Неделя!F84</f>
        <v>0</v>
      </c>
      <c r="G84" s="14">
        <f>Неделя!G84</f>
        <v>0</v>
      </c>
      <c r="H84" s="14">
        <f>Неделя!I84</f>
        <v>0</v>
      </c>
      <c r="I84" s="14">
        <f>Неделя!O84</f>
        <v>0</v>
      </c>
    </row>
    <row r="85" spans="1:256" hidden="1">
      <c r="A85" t="str">
        <f>Неделя!A85</f>
        <v>Алеф-банк 150 НОЯБРЬ </v>
      </c>
      <c r="B85">
        <f>Неделя!B85</f>
        <v>1.2749999999999999</v>
      </c>
      <c r="C85">
        <f>Неделя!C85</f>
        <v>0</v>
      </c>
      <c r="D85">
        <f>Неделя!D85</f>
        <v>1</v>
      </c>
      <c r="E85">
        <f>Неделя!E85</f>
        <v>0</v>
      </c>
      <c r="F85">
        <f>Неделя!F85</f>
        <v>0</v>
      </c>
      <c r="G85">
        <f>Неделя!G85</f>
        <v>0</v>
      </c>
      <c r="H85">
        <f>Неделя!I85</f>
        <v>0</v>
      </c>
      <c r="I85">
        <f>Неделя!O85</f>
        <v>0</v>
      </c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 spans="1:256" hidden="1">
      <c r="A86" t="str">
        <f>Неделя!A86</f>
        <v>Альфастрахование 2х180</v>
      </c>
      <c r="B86">
        <f>Неделя!B86</f>
        <v>4.1399999999999997</v>
      </c>
      <c r="C86">
        <f>Неделя!C86</f>
        <v>2</v>
      </c>
      <c r="D86">
        <f>Неделя!D86</f>
        <v>0</v>
      </c>
      <c r="E86">
        <f>Неделя!E86</f>
        <v>0</v>
      </c>
      <c r="F86">
        <f>Неделя!F86</f>
        <v>0</v>
      </c>
      <c r="G86">
        <f>Неделя!G86</f>
        <v>0</v>
      </c>
      <c r="H86">
        <f>Неделя!I86</f>
        <v>0</v>
      </c>
      <c r="I86">
        <f>Неделя!O86</f>
        <v>0</v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 spans="1:256" hidden="1">
      <c r="A87" t="str">
        <f>Неделя!A87</f>
        <v>Аптека советская ленина 150</v>
      </c>
      <c r="B87">
        <f>Неделя!B87</f>
        <v>1.2749999999999999</v>
      </c>
      <c r="C87">
        <f>Неделя!C87</f>
        <v>0</v>
      </c>
      <c r="D87">
        <f>Неделя!D87</f>
        <v>1</v>
      </c>
      <c r="E87">
        <f>Неделя!E87</f>
        <v>0</v>
      </c>
      <c r="F87">
        <f>Неделя!F87</f>
        <v>0</v>
      </c>
      <c r="G87">
        <f>Неделя!G87</f>
        <v>0</v>
      </c>
      <c r="H87">
        <f>Неделя!I87</f>
        <v>0</v>
      </c>
      <c r="I87">
        <f>Неделя!O87</f>
        <v>0</v>
      </c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 spans="1:256" hidden="1">
      <c r="A88" t="str">
        <f>Неделя!A88</f>
        <v>Баден Ленина-200 старый</v>
      </c>
      <c r="B88">
        <f>Неделя!B88</f>
        <v>2.0699999999999998</v>
      </c>
      <c r="C88">
        <f>Неделя!C88</f>
        <v>1</v>
      </c>
      <c r="D88">
        <f>Неделя!D88</f>
        <v>0</v>
      </c>
      <c r="E88">
        <f>Неделя!E88</f>
        <v>0</v>
      </c>
      <c r="F88">
        <f>Неделя!F88</f>
        <v>0</v>
      </c>
      <c r="G88">
        <f>Неделя!G88</f>
        <v>0</v>
      </c>
      <c r="H88">
        <f>Неделя!I88</f>
        <v>0</v>
      </c>
      <c r="I88">
        <f>Неделя!O88</f>
        <v>0</v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 spans="1:256" hidden="1">
      <c r="A89">
        <f>Неделя!A89</f>
        <v>0</v>
      </c>
      <c r="B89">
        <f>Неделя!B89</f>
        <v>0</v>
      </c>
      <c r="C89">
        <f>Неделя!C89</f>
        <v>0</v>
      </c>
      <c r="D89">
        <f>Неделя!D89</f>
        <v>0</v>
      </c>
      <c r="E89">
        <f>Неделя!E89</f>
        <v>0</v>
      </c>
      <c r="F89">
        <f>Неделя!F89</f>
        <v>0</v>
      </c>
      <c r="G89">
        <f>Неделя!G89</f>
        <v>0</v>
      </c>
      <c r="H89">
        <f>Неделя!I89</f>
        <v>0</v>
      </c>
      <c r="I89">
        <f>Неделя!O89</f>
        <v>0</v>
      </c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 spans="1:256" hidden="1">
      <c r="A90" s="15" t="str">
        <f>Неделя!A90</f>
        <v>Банк курган Гоголя 180 </v>
      </c>
      <c r="B90" s="15">
        <f>Неделя!B90</f>
        <v>2.0699999999999998</v>
      </c>
      <c r="C90" s="14">
        <f>Неделя!C90</f>
        <v>1</v>
      </c>
      <c r="D90" s="14">
        <f>Неделя!D90</f>
        <v>0</v>
      </c>
      <c r="E90" s="14">
        <f>Неделя!E90</f>
        <v>0</v>
      </c>
      <c r="F90" s="14">
        <f>Неделя!F90</f>
        <v>0</v>
      </c>
      <c r="G90" s="14">
        <f>Неделя!G90</f>
        <v>0</v>
      </c>
      <c r="H90" s="14">
        <f>Неделя!I90</f>
        <v>0</v>
      </c>
      <c r="I90" s="14">
        <f>Неделя!O90</f>
        <v>0</v>
      </c>
    </row>
    <row r="91" spans="1:256" hidden="1">
      <c r="A91" s="15" t="str">
        <f>Неделя!A91</f>
        <v>Банк курган площадь 150 сер. 1шт. </v>
      </c>
      <c r="B91" s="15">
        <f>Неделя!B91</f>
        <v>1.2749999999999999</v>
      </c>
      <c r="C91" s="14">
        <f>Неделя!C91</f>
        <v>0</v>
      </c>
      <c r="D91" s="14">
        <f>Неделя!D91</f>
        <v>1</v>
      </c>
      <c r="E91" s="14">
        <f>Неделя!E91</f>
        <v>0</v>
      </c>
      <c r="F91" s="14">
        <f>Неделя!F91</f>
        <v>0</v>
      </c>
      <c r="G91" s="14">
        <f>Неделя!G91</f>
        <v>0</v>
      </c>
      <c r="H91" s="14">
        <f>Неделя!I91</f>
        <v>0</v>
      </c>
      <c r="I91" s="14">
        <f>Неделя!O91</f>
        <v>0</v>
      </c>
    </row>
    <row r="92" spans="1:256" hidden="1">
      <c r="A92" t="str">
        <f>Неделя!A92</f>
        <v>Банк России 150   2шт</v>
      </c>
      <c r="B92">
        <f>Неделя!B92</f>
        <v>2.5499999999999998</v>
      </c>
      <c r="C92">
        <f>Неделя!C92</f>
        <v>0</v>
      </c>
      <c r="D92">
        <f>Неделя!D92</f>
        <v>0</v>
      </c>
      <c r="E92">
        <f>Неделя!E92</f>
        <v>0</v>
      </c>
      <c r="F92">
        <f>Неделя!F92</f>
        <v>1</v>
      </c>
      <c r="G92">
        <f>Неделя!G92</f>
        <v>0</v>
      </c>
      <c r="H92">
        <f>Неделя!I92</f>
        <v>0</v>
      </c>
      <c r="I92">
        <f>Неделя!O92</f>
        <v>0</v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 spans="1:256" hidden="1">
      <c r="A93" t="str">
        <f>Неделя!A93</f>
        <v>Бенетон 150</v>
      </c>
      <c r="B93">
        <f>Неделя!B93</f>
        <v>1.2749999999999999</v>
      </c>
      <c r="C93">
        <f>Неделя!C93</f>
        <v>0</v>
      </c>
      <c r="D93">
        <f>Неделя!D93</f>
        <v>1</v>
      </c>
      <c r="E93">
        <f>Неделя!E93</f>
        <v>0</v>
      </c>
      <c r="F93">
        <f>Неделя!F93</f>
        <v>0</v>
      </c>
      <c r="G93">
        <f>Неделя!G93</f>
        <v>0</v>
      </c>
      <c r="H93">
        <f>Неделя!I93</f>
        <v>0</v>
      </c>
      <c r="I93">
        <f>Неделя!O93</f>
        <v>0</v>
      </c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 spans="1:256" hidden="1">
      <c r="A94" t="str">
        <f>Неделя!A94</f>
        <v>Вояж володарская150 сер. 1 шт.нов.</v>
      </c>
      <c r="B94">
        <f>Неделя!B94</f>
        <v>1.2749999999999999</v>
      </c>
      <c r="C94">
        <f>Неделя!C94</f>
        <v>0</v>
      </c>
      <c r="D94">
        <f>Неделя!D94</f>
        <v>1</v>
      </c>
      <c r="E94">
        <f>Неделя!E94</f>
        <v>0</v>
      </c>
      <c r="F94">
        <f>Неделя!F94</f>
        <v>0</v>
      </c>
      <c r="G94">
        <f>Неделя!G94</f>
        <v>0</v>
      </c>
      <c r="H94">
        <f>Неделя!I94</f>
        <v>0</v>
      </c>
      <c r="I94">
        <f>Неделя!O94</f>
        <v>0</v>
      </c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 spans="1:256" hidden="1">
      <c r="A95" t="str">
        <f>Неделя!A95</f>
        <v>Газпроммежрегионгаз Гоголя 98   1x150</v>
      </c>
      <c r="B95">
        <f>Неделя!B95</f>
        <v>1.2749999999999999</v>
      </c>
      <c r="C95">
        <f>Неделя!C95</f>
        <v>0</v>
      </c>
      <c r="D95">
        <f>Неделя!D95</f>
        <v>0</v>
      </c>
      <c r="E95">
        <f>Неделя!E95</f>
        <v>0</v>
      </c>
      <c r="F95">
        <f>Неделя!F95</f>
        <v>0</v>
      </c>
      <c r="G95">
        <f>Неделя!G95</f>
        <v>0</v>
      </c>
      <c r="H95">
        <f>Неделя!I95</f>
        <v>0</v>
      </c>
      <c r="I95">
        <f>Неделя!O95</f>
        <v>0</v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 spans="1:256" hidden="1">
      <c r="A96" t="str">
        <f>Неделя!A96</f>
        <v>газпроммежрегионгаз- 5х150</v>
      </c>
      <c r="B96">
        <f>Неделя!B96</f>
        <v>6.375</v>
      </c>
      <c r="C96">
        <f>Неделя!C96</f>
        <v>0</v>
      </c>
      <c r="D96">
        <f>Неделя!D96</f>
        <v>0</v>
      </c>
      <c r="E96">
        <f>Неделя!E96</f>
        <v>0</v>
      </c>
      <c r="F96">
        <f>Неделя!F96</f>
        <v>0</v>
      </c>
      <c r="G96">
        <f>Неделя!G96</f>
        <v>0</v>
      </c>
      <c r="H96">
        <f>Неделя!I96</f>
        <v>0</v>
      </c>
      <c r="I96">
        <f>Неделя!O96</f>
        <v>0</v>
      </c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</row>
    <row r="97" spans="1:256" hidden="1">
      <c r="A97" t="str">
        <f>Неделя!A97</f>
        <v>Джинса ленина 150</v>
      </c>
      <c r="B97">
        <f>Неделя!B97</f>
        <v>1.2749999999999999</v>
      </c>
      <c r="C97">
        <f>Неделя!C97</f>
        <v>0</v>
      </c>
      <c r="D97">
        <f>Неделя!D97</f>
        <v>1</v>
      </c>
      <c r="E97">
        <f>Неделя!E97</f>
        <v>0</v>
      </c>
      <c r="F97">
        <f>Неделя!F97</f>
        <v>0</v>
      </c>
      <c r="G97">
        <f>Неделя!G97</f>
        <v>0</v>
      </c>
      <c r="H97">
        <f>Неделя!I97</f>
        <v>0</v>
      </c>
      <c r="I97">
        <f>Неделя!O97</f>
        <v>0</v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 spans="1:256" hidden="1">
      <c r="A98" s="15" t="str">
        <f>Неделя!A98</f>
        <v>Джулия пролетарская  200 хороший</v>
      </c>
      <c r="B98" s="15">
        <f>Неделя!B98</f>
        <v>2.0699999999999998</v>
      </c>
      <c r="C98" s="14">
        <f>Неделя!C98</f>
        <v>1</v>
      </c>
      <c r="D98" s="14">
        <f>Неделя!D98</f>
        <v>0</v>
      </c>
      <c r="E98" s="14">
        <f>Неделя!E98</f>
        <v>0</v>
      </c>
      <c r="F98" s="14">
        <f>Неделя!F98</f>
        <v>0</v>
      </c>
      <c r="G98" s="14">
        <f>Неделя!G98</f>
        <v>0</v>
      </c>
      <c r="H98" s="14">
        <f>Неделя!I98</f>
        <v>0</v>
      </c>
      <c r="I98" s="14">
        <f>Неделя!O98</f>
        <v>0</v>
      </c>
    </row>
    <row r="99" spans="1:256" hidden="1">
      <c r="A99" s="15" t="str">
        <f>Неделя!A99</f>
        <v>Джулия советская 180 </v>
      </c>
      <c r="B99" s="15">
        <f>Неделя!B99</f>
        <v>2.0699999999999998</v>
      </c>
      <c r="C99" s="14">
        <f>Неделя!C99</f>
        <v>1</v>
      </c>
      <c r="D99" s="14">
        <f>Неделя!D99</f>
        <v>0</v>
      </c>
      <c r="E99" s="14">
        <f>Неделя!E99</f>
        <v>0</v>
      </c>
      <c r="F99" s="14">
        <f>Неделя!F99</f>
        <v>0</v>
      </c>
      <c r="G99" s="14">
        <f>Неделя!G99</f>
        <v>0</v>
      </c>
      <c r="H99" s="14">
        <f>Неделя!I99</f>
        <v>0</v>
      </c>
      <c r="I99" s="14">
        <f>Неделя!O99</f>
        <v>0</v>
      </c>
    </row>
    <row r="100" spans="1:256" hidden="1">
      <c r="A100" t="str">
        <f>Неделя!A100</f>
        <v>Ив роше Ленина180</v>
      </c>
      <c r="B100">
        <f>Неделя!B100</f>
        <v>2.0699999999999998</v>
      </c>
      <c r="C100">
        <f>Неделя!C100</f>
        <v>1</v>
      </c>
      <c r="D100">
        <f>Неделя!D100</f>
        <v>0</v>
      </c>
      <c r="E100">
        <f>Неделя!E100</f>
        <v>0</v>
      </c>
      <c r="F100">
        <f>Неделя!F100</f>
        <v>0</v>
      </c>
      <c r="G100">
        <f>Неделя!G100</f>
        <v>0</v>
      </c>
      <c r="H100">
        <f>Неделя!I100</f>
        <v>0</v>
      </c>
      <c r="I100">
        <f>Неделя!O100</f>
        <v>0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 spans="1:256" hidden="1">
      <c r="A101" t="str">
        <f>Неделя!A101</f>
        <v>Ик надежда 150</v>
      </c>
      <c r="B101">
        <f>Неделя!B101</f>
        <v>1.2749999999999999</v>
      </c>
      <c r="C101">
        <f>Неделя!C101</f>
        <v>0</v>
      </c>
      <c r="D101">
        <f>Неделя!D101</f>
        <v>1</v>
      </c>
      <c r="E101">
        <f>Неделя!E101</f>
        <v>0</v>
      </c>
      <c r="F101">
        <f>Неделя!F101</f>
        <v>0</v>
      </c>
      <c r="G101">
        <f>Неделя!G101</f>
        <v>0</v>
      </c>
      <c r="H101">
        <f>Неделя!I101</f>
        <v>0</v>
      </c>
      <c r="I101">
        <f>Неделя!O101</f>
        <v>0</v>
      </c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 spans="1:256" hidden="1">
      <c r="A102" t="str">
        <f>Неделя!A102</f>
        <v>Инвитро пушкина 189-2х150</v>
      </c>
      <c r="B102">
        <f>Неделя!B102</f>
        <v>1.2749999999999999</v>
      </c>
      <c r="C102">
        <f>Неделя!C102</f>
        <v>0</v>
      </c>
      <c r="D102">
        <f>Неделя!D102</f>
        <v>2</v>
      </c>
      <c r="E102">
        <f>Неделя!E102</f>
        <v>0</v>
      </c>
      <c r="F102">
        <f>Неделя!F102</f>
        <v>0</v>
      </c>
      <c r="G102">
        <f>Неделя!G102</f>
        <v>0</v>
      </c>
      <c r="H102">
        <f>Неделя!I102</f>
        <v>0</v>
      </c>
      <c r="I102">
        <f>Неделя!O102</f>
        <v>0</v>
      </c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 spans="1:256" hidden="1">
      <c r="A103" t="str">
        <f>Неделя!A103</f>
        <v>Инвитро юбилейный 180</v>
      </c>
      <c r="B103">
        <f>Неделя!B103</f>
        <v>2.0699999999999998</v>
      </c>
      <c r="C103">
        <f>Неделя!C103</f>
        <v>1</v>
      </c>
      <c r="D103">
        <f>Неделя!D103</f>
        <v>0</v>
      </c>
      <c r="E103">
        <f>Неделя!E103</f>
        <v>0</v>
      </c>
      <c r="F103">
        <f>Неделя!F103</f>
        <v>0</v>
      </c>
      <c r="G103">
        <f>Неделя!G103</f>
        <v>0</v>
      </c>
      <c r="H103">
        <f>Неделя!I103</f>
        <v>0</v>
      </c>
      <c r="I103">
        <f>Неделя!O103</f>
        <v>0</v>
      </c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hidden="1">
      <c r="A104" t="str">
        <f>Неделя!A104</f>
        <v>Ингострах 2х150</v>
      </c>
      <c r="B104">
        <f>Неделя!B104</f>
        <v>2.5499999999999998</v>
      </c>
      <c r="C104">
        <f>Неделя!C104</f>
        <v>0</v>
      </c>
      <c r="D104">
        <f>Неделя!D104</f>
        <v>2</v>
      </c>
      <c r="E104">
        <f>Неделя!E104</f>
        <v>0</v>
      </c>
      <c r="F104">
        <f>Неделя!F104</f>
        <v>0</v>
      </c>
      <c r="G104">
        <f>Неделя!G104</f>
        <v>0</v>
      </c>
      <c r="H104">
        <f>Неделя!I104</f>
        <v>0</v>
      </c>
      <c r="I104">
        <f>Неделя!O104</f>
        <v>0</v>
      </c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  <row r="105" spans="1:256" hidden="1">
      <c r="A105" t="str">
        <f>Неделя!A105</f>
        <v>Календарь подарков ленина-180</v>
      </c>
      <c r="B105">
        <f>Неделя!B105</f>
        <v>2.0699999999999998</v>
      </c>
      <c r="C105">
        <f>Неделя!C105</f>
        <v>1</v>
      </c>
      <c r="D105">
        <f>Неделя!D105</f>
        <v>0</v>
      </c>
      <c r="E105">
        <f>Неделя!E105</f>
        <v>0</v>
      </c>
      <c r="F105">
        <f>Неделя!F105</f>
        <v>0</v>
      </c>
      <c r="G105">
        <f>Неделя!G105</f>
        <v>0</v>
      </c>
      <c r="H105">
        <f>Неделя!I105</f>
        <v>0</v>
      </c>
      <c r="I105">
        <f>Неделя!O105</f>
        <v>0</v>
      </c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</row>
    <row r="106" spans="1:256" hidden="1">
      <c r="A106" t="str">
        <f>Неделя!A106</f>
        <v>Каменный цветок омская 101 150 нов</v>
      </c>
      <c r="B106">
        <f>Неделя!B106</f>
        <v>1.2749999999999999</v>
      </c>
      <c r="C106">
        <f>Неделя!C106</f>
        <v>0</v>
      </c>
      <c r="D106">
        <f>Неделя!D106</f>
        <v>1</v>
      </c>
      <c r="E106">
        <f>Неделя!E106</f>
        <v>0</v>
      </c>
      <c r="F106">
        <f>Неделя!F106</f>
        <v>0</v>
      </c>
      <c r="G106">
        <f>Неделя!G106</f>
        <v>0</v>
      </c>
      <c r="H106">
        <f>Неделя!I106</f>
        <v>0</v>
      </c>
      <c r="I106">
        <f>Неделя!O106</f>
        <v>0</v>
      </c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</row>
    <row r="107" spans="1:256" hidden="1">
      <c r="A107" t="str">
        <f>Неделя!A107</f>
        <v>Карэ гараж К.Маркса 60а    150</v>
      </c>
      <c r="B107">
        <f>Неделя!B107</f>
        <v>1.2749999999999999</v>
      </c>
      <c r="C107">
        <f>Неделя!C107</f>
        <v>0</v>
      </c>
      <c r="D107">
        <f>Неделя!D107</f>
        <v>1</v>
      </c>
      <c r="E107">
        <f>Неделя!E107</f>
        <v>0</v>
      </c>
      <c r="F107">
        <f>Неделя!F107</f>
        <v>0</v>
      </c>
      <c r="G107">
        <f>Неделя!G107</f>
        <v>0</v>
      </c>
      <c r="H107">
        <f>Неделя!I107</f>
        <v>0</v>
      </c>
      <c r="I107">
        <f>Неделя!O107</f>
        <v>0</v>
      </c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</row>
    <row r="108" spans="1:256" hidden="1">
      <c r="A108" s="15" t="str">
        <f>Неделя!A108</f>
        <v>Карэ гоголя 37 150 нов. кор. </v>
      </c>
      <c r="B108" s="15">
        <f>Неделя!B108</f>
        <v>1.2749999999999999</v>
      </c>
      <c r="C108" s="14">
        <f>Неделя!C108</f>
        <v>0</v>
      </c>
      <c r="D108" s="14">
        <f>Неделя!D108</f>
        <v>1</v>
      </c>
      <c r="E108" s="14">
        <f>Неделя!E108</f>
        <v>0</v>
      </c>
      <c r="F108" s="14">
        <f>Неделя!F108</f>
        <v>0</v>
      </c>
      <c r="G108" s="14">
        <f>Неделя!G108</f>
        <v>0</v>
      </c>
      <c r="H108" s="14">
        <f>Неделя!I108</f>
        <v>0</v>
      </c>
      <c r="I108" s="14">
        <f>Неделя!O108</f>
        <v>0</v>
      </c>
    </row>
    <row r="109" spans="1:256" hidden="1">
      <c r="A109" t="str">
        <f>Неделя!A109</f>
        <v>Карэ к. Маркса 46 3х150 нов кор</v>
      </c>
      <c r="B109">
        <f>Неделя!B109</f>
        <v>3.8249999999999997</v>
      </c>
      <c r="C109">
        <f>Неделя!C109</f>
        <v>0</v>
      </c>
      <c r="D109">
        <f>Неделя!D109</f>
        <v>3</v>
      </c>
      <c r="E109">
        <f>Неделя!E109</f>
        <v>0</v>
      </c>
      <c r="F109">
        <f>Неделя!F109</f>
        <v>0</v>
      </c>
      <c r="G109">
        <f>Неделя!G109</f>
        <v>0</v>
      </c>
      <c r="H109">
        <f>Неделя!I109</f>
        <v>0</v>
      </c>
      <c r="I109">
        <f>Неделя!O109</f>
        <v>0</v>
      </c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0" spans="1:256" hidden="1">
      <c r="A110" t="str">
        <f>Неделя!A110</f>
        <v>Карэ ленина 150 коричневый</v>
      </c>
      <c r="B110">
        <f>Неделя!B110</f>
        <v>1.2749999999999999</v>
      </c>
      <c r="C110">
        <f>Неделя!C110</f>
        <v>0</v>
      </c>
      <c r="D110">
        <f>Неделя!D110</f>
        <v>1</v>
      </c>
      <c r="E110">
        <f>Неделя!E110</f>
        <v>0</v>
      </c>
      <c r="F110">
        <f>Неделя!F110</f>
        <v>0</v>
      </c>
      <c r="G110">
        <f>Неделя!G110</f>
        <v>0</v>
      </c>
      <c r="H110">
        <f>Неделя!I110</f>
        <v>0</v>
      </c>
      <c r="I110">
        <f>Неделя!O110</f>
        <v>0</v>
      </c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</row>
    <row r="111" spans="1:256" hidden="1">
      <c r="A111" s="15" t="str">
        <f>Неделя!A111</f>
        <v>Комиссоныч юбилейный-150 рез. </v>
      </c>
      <c r="B111" s="15">
        <f>Неделя!B111</f>
        <v>1.2749999999999999</v>
      </c>
      <c r="C111" s="14">
        <f>Неделя!C111</f>
        <v>0</v>
      </c>
      <c r="D111" s="14">
        <f>Неделя!D111</f>
        <v>1</v>
      </c>
      <c r="E111" s="14">
        <f>Неделя!E111</f>
        <v>0</v>
      </c>
      <c r="F111" s="14">
        <f>Неделя!F111</f>
        <v>0</v>
      </c>
      <c r="G111" s="14">
        <f>Неделя!G111</f>
        <v>0</v>
      </c>
      <c r="H111" s="14">
        <f>Неделя!I111</f>
        <v>0</v>
      </c>
      <c r="I111" s="14">
        <f>Неделя!O111</f>
        <v>0</v>
      </c>
    </row>
    <row r="112" spans="1:256" hidden="1">
      <c r="A112" t="str">
        <f>Неделя!A112</f>
        <v>Консультант + васильева 7 240старый </v>
      </c>
      <c r="B112">
        <f>Неделя!B112</f>
        <v>2.7</v>
      </c>
      <c r="C112">
        <f>Неделя!C112</f>
        <v>1</v>
      </c>
      <c r="D112">
        <f>Неделя!D112</f>
        <v>0</v>
      </c>
      <c r="E112">
        <f>Неделя!E112</f>
        <v>0</v>
      </c>
      <c r="F112">
        <f>Неделя!F112</f>
        <v>0</v>
      </c>
      <c r="G112">
        <f>Неделя!G112</f>
        <v>0</v>
      </c>
      <c r="H112">
        <f>Неделя!I112</f>
        <v>0</v>
      </c>
      <c r="I112">
        <f>Неделя!O112</f>
        <v>0</v>
      </c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</row>
    <row r="113" spans="1:256" hidden="1">
      <c r="A113">
        <f>Неделя!A113</f>
        <v>0</v>
      </c>
      <c r="B113">
        <f>Неделя!B113</f>
        <v>0</v>
      </c>
      <c r="C113">
        <f>Неделя!C113</f>
        <v>0</v>
      </c>
      <c r="D113">
        <f>Неделя!D113</f>
        <v>0</v>
      </c>
      <c r="E113">
        <f>Неделя!E113</f>
        <v>0</v>
      </c>
      <c r="F113">
        <f>Неделя!F113</f>
        <v>0</v>
      </c>
      <c r="G113">
        <f>Неделя!G113</f>
        <v>0</v>
      </c>
      <c r="H113">
        <f>Неделя!I113</f>
        <v>0</v>
      </c>
      <c r="I113">
        <f>Неделя!O113</f>
        <v>0</v>
      </c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</row>
    <row r="114" spans="1:256" hidden="1">
      <c r="A114">
        <f>Неделя!A114</f>
        <v>0</v>
      </c>
      <c r="B114">
        <f>Неделя!B114</f>
        <v>0</v>
      </c>
      <c r="C114">
        <f>Неделя!C114</f>
        <v>0</v>
      </c>
      <c r="D114">
        <f>Неделя!D114</f>
        <v>0</v>
      </c>
      <c r="E114">
        <f>Неделя!E114</f>
        <v>0</v>
      </c>
      <c r="F114">
        <f>Неделя!F114</f>
        <v>0</v>
      </c>
      <c r="G114">
        <f>Неделя!G114</f>
        <v>0</v>
      </c>
      <c r="H114">
        <f>Неделя!I114</f>
        <v>0</v>
      </c>
      <c r="I114">
        <f>Неделя!O114</f>
        <v>0</v>
      </c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</row>
    <row r="115" spans="1:256" hidden="1">
      <c r="A115" t="str">
        <f>Неделя!A115</f>
        <v>Мед центр  космольская 180</v>
      </c>
      <c r="B115">
        <f>Неделя!B115</f>
        <v>2.0699999999999998</v>
      </c>
      <c r="C115">
        <f>Неделя!C115</f>
        <v>1</v>
      </c>
      <c r="D115">
        <f>Неделя!D115</f>
        <v>0</v>
      </c>
      <c r="E115">
        <f>Неделя!E115</f>
        <v>0</v>
      </c>
      <c r="F115">
        <f>Неделя!F115</f>
        <v>0</v>
      </c>
      <c r="G115">
        <f>Неделя!G115</f>
        <v>0</v>
      </c>
      <c r="H115">
        <f>Неделя!I115</f>
        <v>0</v>
      </c>
      <c r="I115">
        <f>Неделя!O115</f>
        <v>0</v>
      </c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</row>
    <row r="116" spans="1:256" hidden="1">
      <c r="A116" s="15" t="str">
        <f>Неделя!A116</f>
        <v>Мисс т 150 сер, нов. 1шт.</v>
      </c>
      <c r="B116" s="15">
        <f>Неделя!B116</f>
        <v>1.2749999999999999</v>
      </c>
      <c r="C116" s="14">
        <f>Неделя!C116</f>
        <v>0</v>
      </c>
      <c r="D116" s="14">
        <f>Неделя!D116</f>
        <v>1</v>
      </c>
      <c r="E116" s="14">
        <f>Неделя!E116</f>
        <v>0</v>
      </c>
      <c r="F116" s="14">
        <f>Неделя!F116</f>
        <v>0</v>
      </c>
      <c r="G116" s="14">
        <f>Неделя!G116</f>
        <v>0</v>
      </c>
      <c r="H116" s="14">
        <f>Неделя!I116</f>
        <v>0</v>
      </c>
      <c r="I116" s="14">
        <f>Неделя!O116</f>
        <v>0</v>
      </c>
    </row>
    <row r="117" spans="1:256" hidden="1">
      <c r="A117" t="str">
        <f>Неделя!A117</f>
        <v>Неил хаус 150 новый</v>
      </c>
      <c r="B117">
        <f>Неделя!B117</f>
        <v>1.2749999999999999</v>
      </c>
      <c r="C117">
        <f>Неделя!C117</f>
        <v>0</v>
      </c>
      <c r="D117">
        <f>Неделя!D117</f>
        <v>1</v>
      </c>
      <c r="E117">
        <f>Неделя!E117</f>
        <v>0</v>
      </c>
      <c r="F117">
        <f>Неделя!F117</f>
        <v>0</v>
      </c>
      <c r="G117">
        <f>Неделя!G117</f>
        <v>0</v>
      </c>
      <c r="H117">
        <f>Неделя!I117</f>
        <v>0</v>
      </c>
      <c r="I117">
        <f>Неделя!O117</f>
        <v>0</v>
      </c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</row>
    <row r="118" spans="1:256" hidden="1">
      <c r="A118" t="str">
        <f>Неделя!A118</f>
        <v>Обувные ленина-3х150 старые </v>
      </c>
      <c r="B118">
        <f>Неделя!B118</f>
        <v>3.8249999999999997</v>
      </c>
      <c r="C118">
        <f>Неделя!C118</f>
        <v>0</v>
      </c>
      <c r="D118">
        <f>Неделя!D118</f>
        <v>3</v>
      </c>
      <c r="E118">
        <f>Неделя!E118</f>
        <v>0</v>
      </c>
      <c r="F118">
        <f>Неделя!F118</f>
        <v>0</v>
      </c>
      <c r="G118">
        <f>Неделя!G118</f>
        <v>0</v>
      </c>
      <c r="H118">
        <f>Неделя!I118</f>
        <v>0</v>
      </c>
      <c r="I118">
        <f>Неделя!O118</f>
        <v>0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</row>
    <row r="119" spans="1:256" hidden="1">
      <c r="A119">
        <f>Неделя!A119</f>
        <v>0</v>
      </c>
      <c r="B119">
        <f>Неделя!B119</f>
        <v>0</v>
      </c>
      <c r="C119">
        <f>Неделя!C119</f>
        <v>0</v>
      </c>
      <c r="D119">
        <f>Неделя!D119</f>
        <v>0</v>
      </c>
      <c r="E119">
        <f>Неделя!E119</f>
        <v>0</v>
      </c>
      <c r="F119">
        <f>Неделя!F119</f>
        <v>0</v>
      </c>
      <c r="G119">
        <f>Неделя!G119</f>
        <v>0</v>
      </c>
      <c r="H119">
        <f>Неделя!I119</f>
        <v>0</v>
      </c>
      <c r="I119">
        <f>Неделя!O119</f>
        <v>0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</row>
    <row r="120" spans="1:256" hidden="1">
      <c r="A120" t="str">
        <f>Неделя!A120</f>
        <v>Омс 2х180</v>
      </c>
      <c r="B120">
        <f>Неделя!B120</f>
        <v>4.1399999999999997</v>
      </c>
      <c r="C120">
        <f>Неделя!C120</f>
        <v>2</v>
      </c>
      <c r="D120">
        <f>Неделя!D120</f>
        <v>0</v>
      </c>
      <c r="E120">
        <f>Неделя!E120</f>
        <v>0</v>
      </c>
      <c r="F120">
        <f>Неделя!F120</f>
        <v>0</v>
      </c>
      <c r="G120">
        <f>Неделя!G120</f>
        <v>0</v>
      </c>
      <c r="H120">
        <f>Неделя!I120</f>
        <v>0</v>
      </c>
      <c r="I120">
        <f>Неделя!O120</f>
        <v>0</v>
      </c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</row>
    <row r="121" spans="1:256" hidden="1">
      <c r="A121" t="str">
        <f>Неделя!A121</f>
        <v>Отель сервис, ресторан 180х3</v>
      </c>
      <c r="B121">
        <f>Неделя!B121</f>
        <v>6.2099999999999991</v>
      </c>
      <c r="C121">
        <f>Неделя!C121</f>
        <v>3</v>
      </c>
      <c r="D121">
        <f>Неделя!D121</f>
        <v>0</v>
      </c>
      <c r="E121">
        <f>Неделя!E121</f>
        <v>0</v>
      </c>
      <c r="F121">
        <f>Неделя!F121</f>
        <v>0</v>
      </c>
      <c r="G121">
        <f>Неделя!G121</f>
        <v>0</v>
      </c>
      <c r="H121">
        <f>Неделя!I121</f>
        <v>0</v>
      </c>
      <c r="I121">
        <f>Неделя!O121</f>
        <v>0</v>
      </c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</row>
    <row r="122" spans="1:256" hidden="1">
      <c r="A122" t="str">
        <f>Неделя!A122</f>
        <v>Отп ленина-150 резаный </v>
      </c>
      <c r="B122">
        <f>Неделя!B122</f>
        <v>1.2749999999999999</v>
      </c>
      <c r="C122">
        <f>Неделя!C122</f>
        <v>0</v>
      </c>
      <c r="D122">
        <f>Неделя!D122</f>
        <v>1</v>
      </c>
      <c r="E122">
        <f>Неделя!E122</f>
        <v>0</v>
      </c>
      <c r="F122">
        <f>Неделя!F122</f>
        <v>0</v>
      </c>
      <c r="G122">
        <f>Неделя!G122</f>
        <v>0</v>
      </c>
      <c r="H122">
        <f>Неделя!I122</f>
        <v>0</v>
      </c>
      <c r="I122">
        <f>Неделя!O122</f>
        <v>0</v>
      </c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</row>
    <row r="123" spans="1:256" hidden="1">
      <c r="A123" t="str">
        <f>Неделя!A123</f>
        <v>Офис центр куйбышева-красина 180,150рез</v>
      </c>
      <c r="B123">
        <f>Неделя!B123</f>
        <v>3.3449999999999998</v>
      </c>
      <c r="C123">
        <f>Неделя!C123</f>
        <v>1</v>
      </c>
      <c r="D123">
        <f>Неделя!D123</f>
        <v>1</v>
      </c>
      <c r="E123">
        <f>Неделя!E123</f>
        <v>0</v>
      </c>
      <c r="F123">
        <f>Неделя!F123</f>
        <v>0</v>
      </c>
      <c r="G123">
        <f>Неделя!G123</f>
        <v>0</v>
      </c>
      <c r="H123">
        <f>Неделя!I123</f>
        <v>0</v>
      </c>
      <c r="I123">
        <f>Неделя!O123</f>
        <v>0</v>
      </c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</row>
    <row r="124" spans="1:256" hidden="1">
      <c r="A124" s="15" t="str">
        <f>Неделя!A124</f>
        <v>Палаццо Гоголя150 рез</v>
      </c>
      <c r="B124" s="15">
        <f>Неделя!B124</f>
        <v>1.2749999999999999</v>
      </c>
      <c r="C124" s="14">
        <f>Неделя!C124</f>
        <v>0</v>
      </c>
      <c r="D124" s="14">
        <f>Неделя!D124</f>
        <v>1</v>
      </c>
      <c r="E124" s="14">
        <f>Неделя!E124</f>
        <v>0</v>
      </c>
      <c r="F124" s="14">
        <f>Неделя!F124</f>
        <v>0</v>
      </c>
      <c r="G124" s="14">
        <f>Неделя!G124</f>
        <v>0</v>
      </c>
      <c r="H124" s="14">
        <f>Неделя!I124</f>
        <v>0</v>
      </c>
      <c r="I124" s="14">
        <f>Неделя!O124</f>
        <v>0</v>
      </c>
    </row>
    <row r="125" spans="1:256" hidden="1">
      <c r="A125" s="14" t="str">
        <f>Неделя!A125</f>
        <v>Парикмахерская тут бут 2х150 нов</v>
      </c>
      <c r="B125" s="14">
        <f>Неделя!B125</f>
        <v>2.5499999999999998</v>
      </c>
      <c r="C125" s="14">
        <f>Неделя!C125</f>
        <v>0</v>
      </c>
      <c r="D125" s="14">
        <f>Неделя!D125</f>
        <v>2</v>
      </c>
      <c r="E125" s="14">
        <f>Неделя!E125</f>
        <v>0</v>
      </c>
      <c r="F125" s="14">
        <f>Неделя!F125</f>
        <v>0</v>
      </c>
      <c r="G125" s="14">
        <f>Неделя!G125</f>
        <v>0</v>
      </c>
      <c r="H125" s="14">
        <f>Неделя!I125</f>
        <v>0</v>
      </c>
      <c r="I125" s="14">
        <f>Неделя!O125</f>
        <v>0</v>
      </c>
    </row>
    <row r="126" spans="1:256" hidden="1">
      <c r="A126" s="14" t="str">
        <f>Неделя!A126</f>
        <v>Планета обуви ленина- 2х200 старые</v>
      </c>
      <c r="B126" s="14">
        <f>Неделя!B126</f>
        <v>4.1399999999999997</v>
      </c>
      <c r="C126" s="14">
        <f>Неделя!C126</f>
        <v>2</v>
      </c>
      <c r="D126" s="14">
        <f>Неделя!D126</f>
        <v>0</v>
      </c>
      <c r="E126" s="14">
        <f>Неделя!E126</f>
        <v>0</v>
      </c>
      <c r="F126" s="14">
        <f>Неделя!F126</f>
        <v>0</v>
      </c>
      <c r="G126" s="14">
        <f>Неделя!G126</f>
        <v>0</v>
      </c>
      <c r="H126" s="14">
        <f>Неделя!I126</f>
        <v>0</v>
      </c>
      <c r="I126" s="14">
        <f>Неделя!O126</f>
        <v>0</v>
      </c>
    </row>
    <row r="127" spans="1:256" hidden="1">
      <c r="A127" s="14" t="str">
        <f>Неделя!A127</f>
        <v>Платинум володарская150 сер. 1 шт.</v>
      </c>
      <c r="B127" s="14">
        <f>Неделя!B127</f>
        <v>1.2749999999999999</v>
      </c>
      <c r="C127" s="14">
        <f>Неделя!C127</f>
        <v>0</v>
      </c>
      <c r="D127" s="14">
        <f>Неделя!D127</f>
        <v>1</v>
      </c>
      <c r="E127" s="14">
        <f>Неделя!E127</f>
        <v>0</v>
      </c>
      <c r="F127" s="14">
        <f>Неделя!F127</f>
        <v>0</v>
      </c>
      <c r="G127" s="14">
        <f>Неделя!G127</f>
        <v>0</v>
      </c>
      <c r="H127" s="14">
        <f>Неделя!I127</f>
        <v>0</v>
      </c>
      <c r="I127" s="14">
        <f>Неделя!O127</f>
        <v>0</v>
      </c>
    </row>
    <row r="128" spans="1:256" hidden="1">
      <c r="A128" s="14" t="str">
        <f>Неделя!A128</f>
        <v>Платон к.Мяготина 180</v>
      </c>
      <c r="B128" s="14">
        <f>Неделя!B128</f>
        <v>2.0699999999999998</v>
      </c>
      <c r="C128" s="14">
        <f>Неделя!C128</f>
        <v>1</v>
      </c>
      <c r="D128" s="14">
        <f>Неделя!D128</f>
        <v>0</v>
      </c>
      <c r="E128" s="14">
        <f>Неделя!E128</f>
        <v>0</v>
      </c>
      <c r="F128" s="14">
        <f>Неделя!F128</f>
        <v>0</v>
      </c>
      <c r="G128" s="14">
        <f>Неделя!G128</f>
        <v>0</v>
      </c>
      <c r="H128" s="14">
        <f>Неделя!I128</f>
        <v>0</v>
      </c>
      <c r="I128" s="14">
        <f>Неделя!O128</f>
        <v>0</v>
      </c>
    </row>
    <row r="129" spans="1:9" hidden="1">
      <c r="A129" s="14" t="str">
        <f>Неделя!A129</f>
        <v>Подиум ленина 180</v>
      </c>
      <c r="B129" s="14">
        <f>Неделя!B129</f>
        <v>2.0699999999999998</v>
      </c>
      <c r="C129" s="14">
        <f>Неделя!C129</f>
        <v>1</v>
      </c>
      <c r="D129" s="14">
        <f>Неделя!D129</f>
        <v>0</v>
      </c>
      <c r="E129" s="14">
        <f>Неделя!E129</f>
        <v>0</v>
      </c>
      <c r="F129" s="14">
        <f>Неделя!F129</f>
        <v>0</v>
      </c>
      <c r="G129" s="14">
        <f>Неделя!G129</f>
        <v>0</v>
      </c>
      <c r="H129" s="14">
        <f>Неделя!I129</f>
        <v>0</v>
      </c>
      <c r="I129" s="14">
        <f>Неделя!O129</f>
        <v>0</v>
      </c>
    </row>
    <row r="130" spans="1:9" hidden="1">
      <c r="A130" s="14" t="str">
        <f>Неделя!A130</f>
        <v>Прайм фитнес клуб 2х150 новые </v>
      </c>
      <c r="B130" s="14">
        <f>Неделя!B130</f>
        <v>2.5499999999999998</v>
      </c>
      <c r="C130" s="14">
        <f>Неделя!C130</f>
        <v>0</v>
      </c>
      <c r="D130" s="14">
        <f>Неделя!D130</f>
        <v>2</v>
      </c>
      <c r="E130" s="14">
        <f>Неделя!E130</f>
        <v>0</v>
      </c>
      <c r="F130" s="14">
        <f>Неделя!F130</f>
        <v>0</v>
      </c>
      <c r="G130" s="14">
        <f>Неделя!G130</f>
        <v>0</v>
      </c>
      <c r="H130" s="14">
        <f>Неделя!I130</f>
        <v>0</v>
      </c>
      <c r="I130" s="14">
        <f>Неделя!O130</f>
        <v>0</v>
      </c>
    </row>
    <row r="131" spans="1:9" hidden="1">
      <c r="A131" s="14" t="str">
        <f>Неделя!A131</f>
        <v xml:space="preserve">Пышка </v>
      </c>
      <c r="B131" s="14">
        <f>Неделя!B131</f>
        <v>1.2749999999999999</v>
      </c>
      <c r="C131" s="14">
        <f>Неделя!C131</f>
        <v>0</v>
      </c>
      <c r="D131" s="14">
        <f>Неделя!D131</f>
        <v>1</v>
      </c>
      <c r="E131" s="14">
        <f>Неделя!E131</f>
        <v>0</v>
      </c>
      <c r="F131" s="14">
        <f>Неделя!F131</f>
        <v>0</v>
      </c>
      <c r="G131" s="14">
        <f>Неделя!G131</f>
        <v>0</v>
      </c>
      <c r="H131" s="14">
        <f>Неделя!I131</f>
        <v>0</v>
      </c>
      <c r="I131" s="14">
        <f>Неделя!O131</f>
        <v>0</v>
      </c>
    </row>
    <row r="132" spans="1:9" hidden="1">
      <c r="A132" s="14" t="str">
        <f>Неделя!A132</f>
        <v>Разговоры ЦПКОИ 180</v>
      </c>
      <c r="B132" s="14">
        <f>Неделя!B132</f>
        <v>2.0699999999999998</v>
      </c>
      <c r="C132" s="14">
        <f>Неделя!C132</f>
        <v>1</v>
      </c>
      <c r="D132" s="14">
        <f>Неделя!D132</f>
        <v>0</v>
      </c>
      <c r="E132" s="14">
        <f>Неделя!E132</f>
        <v>0</v>
      </c>
      <c r="F132" s="14">
        <f>Неделя!F132</f>
        <v>0</v>
      </c>
      <c r="G132" s="14">
        <f>Неделя!G132</f>
        <v>0</v>
      </c>
      <c r="H132" s="14">
        <f>Неделя!I132</f>
        <v>0</v>
      </c>
      <c r="I132" s="14">
        <f>Неделя!O132</f>
        <v>0</v>
      </c>
    </row>
    <row r="133" spans="1:9" hidden="1">
      <c r="A133" s="14" t="str">
        <f>Неделя!A133</f>
        <v>Рикер ленина-200 старый </v>
      </c>
      <c r="B133" s="14">
        <f>Неделя!B133</f>
        <v>2.0699999999999998</v>
      </c>
      <c r="C133" s="14">
        <f>Неделя!C133</f>
        <v>1</v>
      </c>
      <c r="D133" s="14">
        <f>Неделя!D133</f>
        <v>0</v>
      </c>
      <c r="E133" s="14">
        <f>Неделя!E133</f>
        <v>0</v>
      </c>
      <c r="F133" s="14">
        <f>Неделя!F133</f>
        <v>0</v>
      </c>
      <c r="G133" s="14">
        <f>Неделя!G133</f>
        <v>0</v>
      </c>
      <c r="H133" s="14">
        <f>Неделя!I133</f>
        <v>0</v>
      </c>
      <c r="I133" s="14">
        <f>Неделя!O133</f>
        <v>0</v>
      </c>
    </row>
    <row r="134" spans="1:9" hidden="1">
      <c r="A134" s="14" t="str">
        <f>Неделя!A134</f>
        <v>Саквояж ленина-180</v>
      </c>
      <c r="B134" s="14">
        <f>Неделя!B134</f>
        <v>2.0699999999999998</v>
      </c>
      <c r="C134" s="14">
        <f>Неделя!C134</f>
        <v>1</v>
      </c>
      <c r="D134" s="14">
        <f>Неделя!D134</f>
        <v>0</v>
      </c>
      <c r="E134" s="14">
        <f>Неделя!E134</f>
        <v>0</v>
      </c>
      <c r="F134" s="14">
        <f>Неделя!F134</f>
        <v>0</v>
      </c>
      <c r="G134" s="14">
        <f>Неделя!G134</f>
        <v>0</v>
      </c>
      <c r="H134" s="14">
        <f>Неделя!I134</f>
        <v>0</v>
      </c>
      <c r="I134" s="14">
        <f>Неделя!O134</f>
        <v>0</v>
      </c>
    </row>
    <row r="135" spans="1:9" hidden="1">
      <c r="A135" s="14">
        <f>Неделя!A135</f>
        <v>0</v>
      </c>
      <c r="B135" s="14">
        <f>Неделя!B135</f>
        <v>0</v>
      </c>
      <c r="C135" s="14">
        <f>Неделя!C135</f>
        <v>0</v>
      </c>
      <c r="D135" s="14">
        <f>Неделя!D135</f>
        <v>0</v>
      </c>
      <c r="E135" s="14">
        <f>Неделя!E135</f>
        <v>0</v>
      </c>
      <c r="F135" s="14">
        <f>Неделя!F135</f>
        <v>0</v>
      </c>
      <c r="G135" s="14">
        <f>Неделя!G135</f>
        <v>0</v>
      </c>
      <c r="H135" s="14">
        <f>Неделя!I135</f>
        <v>0</v>
      </c>
      <c r="I135" s="14">
        <f>Неделя!O135</f>
        <v>0</v>
      </c>
    </row>
    <row r="136" spans="1:9" hidden="1">
      <c r="A136" s="14" t="str">
        <f>Неделя!A136</f>
        <v>Сибирский газовик володарского 65, 150 сер. 3 шт</v>
      </c>
      <c r="B136" s="14">
        <f>Неделя!B136</f>
        <v>3.8249999999999997</v>
      </c>
      <c r="C136" s="14">
        <f>Неделя!C136</f>
        <v>0</v>
      </c>
      <c r="D136" s="14">
        <f>Неделя!D136</f>
        <v>3</v>
      </c>
      <c r="E136" s="14">
        <f>Неделя!E136</f>
        <v>0</v>
      </c>
      <c r="F136" s="14">
        <f>Неделя!F136</f>
        <v>0</v>
      </c>
      <c r="G136" s="14">
        <f>Неделя!G136</f>
        <v>0</v>
      </c>
      <c r="H136" s="14">
        <f>Неделя!I136</f>
        <v>0</v>
      </c>
      <c r="I136" s="14">
        <f>Неделя!O136</f>
        <v>0</v>
      </c>
    </row>
    <row r="137" spans="1:9" hidden="1">
      <c r="A137" s="14" t="str">
        <f>Неделя!A137</f>
        <v>Скорпион 150 </v>
      </c>
      <c r="B137" s="14">
        <f>Неделя!B137</f>
        <v>1.2749999999999999</v>
      </c>
      <c r="C137" s="14">
        <f>Неделя!C137</f>
        <v>0</v>
      </c>
      <c r="D137" s="14">
        <f>Неделя!D137</f>
        <v>1</v>
      </c>
      <c r="E137" s="14">
        <f>Неделя!E137</f>
        <v>0</v>
      </c>
      <c r="F137" s="14">
        <f>Неделя!F137</f>
        <v>0</v>
      </c>
      <c r="G137" s="14">
        <f>Неделя!G137</f>
        <v>0</v>
      </c>
      <c r="H137" s="14">
        <f>Неделя!I137</f>
        <v>0</v>
      </c>
      <c r="I137" s="14">
        <f>Неделя!O137</f>
        <v>0</v>
      </c>
    </row>
    <row r="138" spans="1:9" hidden="1">
      <c r="A138" s="14">
        <f>Неделя!A138</f>
        <v>0</v>
      </c>
      <c r="B138" s="14">
        <f>Неделя!B138</f>
        <v>0</v>
      </c>
      <c r="C138" s="14">
        <f>Неделя!C138</f>
        <v>0</v>
      </c>
      <c r="D138" s="14">
        <f>Неделя!D138</f>
        <v>0</v>
      </c>
      <c r="E138" s="14">
        <f>Неделя!E138</f>
        <v>0</v>
      </c>
      <c r="F138" s="14">
        <f>Неделя!F138</f>
        <v>0</v>
      </c>
      <c r="G138" s="14">
        <f>Неделя!G138</f>
        <v>0</v>
      </c>
      <c r="H138" s="14">
        <f>Неделя!I138</f>
        <v>0</v>
      </c>
      <c r="I138" s="14">
        <f>Неделя!O138</f>
        <v>0</v>
      </c>
    </row>
    <row r="139" spans="1:9" hidden="1">
      <c r="A139" s="14" t="str">
        <f>Неделя!A139</f>
        <v>Совкомбанк Ленина 180</v>
      </c>
      <c r="B139" s="14">
        <f>Неделя!B139</f>
        <v>2.0699999999999998</v>
      </c>
      <c r="C139" s="14">
        <f>Неделя!C139</f>
        <v>1</v>
      </c>
      <c r="D139" s="14">
        <f>Неделя!D139</f>
        <v>0</v>
      </c>
      <c r="E139" s="14">
        <f>Неделя!E139</f>
        <v>0</v>
      </c>
      <c r="F139" s="14">
        <f>Неделя!F139</f>
        <v>0</v>
      </c>
      <c r="G139" s="14">
        <f>Неделя!G139</f>
        <v>0</v>
      </c>
      <c r="H139" s="14">
        <f>Неделя!I139</f>
        <v>0</v>
      </c>
      <c r="I139" s="14">
        <f>Неделя!O139</f>
        <v>0</v>
      </c>
    </row>
    <row r="140" spans="1:9" hidden="1">
      <c r="A140" s="15" t="str">
        <f>Неделя!A140</f>
        <v>совкомбанк гоголя-180 </v>
      </c>
      <c r="B140" s="15">
        <f>Неделя!B140</f>
        <v>2.0699999999999998</v>
      </c>
      <c r="C140" s="14">
        <f>Неделя!C140</f>
        <v>1</v>
      </c>
      <c r="D140" s="14">
        <f>Неделя!D140</f>
        <v>0</v>
      </c>
      <c r="E140" s="14">
        <f>Неделя!E140</f>
        <v>0</v>
      </c>
      <c r="F140" s="14">
        <f>Неделя!F140</f>
        <v>0</v>
      </c>
      <c r="G140" s="14">
        <f>Неделя!G140</f>
        <v>0</v>
      </c>
      <c r="H140" s="14">
        <f>Неделя!I140</f>
        <v>0</v>
      </c>
      <c r="I140" s="14">
        <f>Неделя!O140</f>
        <v>0</v>
      </c>
    </row>
    <row r="141" spans="1:9" hidden="1">
      <c r="A141" s="14" t="str">
        <f>Неделя!A141</f>
        <v>Стиляги площадь серый новый 150+150</v>
      </c>
      <c r="B141" s="14">
        <f>Неделя!B141</f>
        <v>2.5499999999999998</v>
      </c>
      <c r="C141" s="14">
        <f>Неделя!C141</f>
        <v>0</v>
      </c>
      <c r="D141" s="14">
        <f>Неделя!D141</f>
        <v>2</v>
      </c>
      <c r="E141" s="14">
        <f>Неделя!E141</f>
        <v>0</v>
      </c>
      <c r="F141" s="14">
        <f>Неделя!F141</f>
        <v>0</v>
      </c>
      <c r="G141" s="14">
        <f>Неделя!G141</f>
        <v>0</v>
      </c>
      <c r="H141" s="14">
        <f>Неделя!I141</f>
        <v>0</v>
      </c>
      <c r="I141" s="14">
        <f>Неделя!O141</f>
        <v>0</v>
      </c>
    </row>
    <row r="142" spans="1:9" hidden="1">
      <c r="A142" s="14" t="str">
        <f>Неделя!A142</f>
        <v>Триумф 180</v>
      </c>
      <c r="B142" s="14">
        <f>Неделя!B142</f>
        <v>2.0699999999999998</v>
      </c>
      <c r="C142" s="14">
        <f>Неделя!C142</f>
        <v>1</v>
      </c>
      <c r="D142" s="14">
        <f>Неделя!D142</f>
        <v>0</v>
      </c>
      <c r="E142" s="14">
        <f>Неделя!E142</f>
        <v>0</v>
      </c>
      <c r="F142" s="14">
        <f>Неделя!F142</f>
        <v>0</v>
      </c>
      <c r="G142" s="14">
        <f>Неделя!G142</f>
        <v>0</v>
      </c>
      <c r="H142" s="14">
        <f>Неделя!I142</f>
        <v>0</v>
      </c>
      <c r="I142" s="14">
        <f>Неделя!O142</f>
        <v>0</v>
      </c>
    </row>
    <row r="143" spans="1:9" hidden="1">
      <c r="A143" s="14">
        <f>Неделя!A143</f>
        <v>0</v>
      </c>
      <c r="B143" s="14">
        <f>Неделя!B143</f>
        <v>0</v>
      </c>
      <c r="C143" s="14">
        <f>Неделя!C143</f>
        <v>0</v>
      </c>
      <c r="D143" s="14">
        <f>Неделя!D143</f>
        <v>0</v>
      </c>
      <c r="E143" s="14">
        <f>Неделя!E143</f>
        <v>0</v>
      </c>
      <c r="F143" s="14">
        <f>Неделя!F143</f>
        <v>0</v>
      </c>
      <c r="G143" s="14">
        <f>Неделя!G143</f>
        <v>0</v>
      </c>
      <c r="H143" s="14">
        <f>Неделя!I143</f>
        <v>0</v>
      </c>
      <c r="I143" s="14">
        <f>Неделя!O143</f>
        <v>0</v>
      </c>
    </row>
    <row r="144" spans="1:9" hidden="1">
      <c r="A144" s="14" t="str">
        <f>Неделя!A144</f>
        <v>Фам-150</v>
      </c>
      <c r="B144" s="14">
        <f>Неделя!B144</f>
        <v>1.2749999999999999</v>
      </c>
      <c r="C144" s="14">
        <f>Неделя!C144</f>
        <v>0</v>
      </c>
      <c r="D144" s="14">
        <f>Неделя!D144</f>
        <v>1</v>
      </c>
      <c r="E144" s="14">
        <f>Неделя!E144</f>
        <v>0</v>
      </c>
      <c r="F144" s="14">
        <f>Неделя!F144</f>
        <v>0</v>
      </c>
      <c r="G144" s="14">
        <f>Неделя!G144</f>
        <v>0</v>
      </c>
      <c r="H144" s="14">
        <f>Неделя!I144</f>
        <v>0</v>
      </c>
      <c r="I144" s="14">
        <f>Неделя!O144</f>
        <v>0</v>
      </c>
    </row>
    <row r="145" spans="1:9" hidden="1">
      <c r="A145" s="14" t="str">
        <f>Неделя!A145</f>
        <v>Франческо донни 150 рез. </v>
      </c>
      <c r="B145" s="14">
        <f>Неделя!B145</f>
        <v>1.2749999999999999</v>
      </c>
      <c r="C145" s="14">
        <f>Неделя!C145</f>
        <v>0</v>
      </c>
      <c r="D145" s="14">
        <f>Неделя!D145</f>
        <v>1</v>
      </c>
      <c r="E145" s="14">
        <f>Неделя!E145</f>
        <v>0</v>
      </c>
      <c r="F145" s="14">
        <f>Неделя!F145</f>
        <v>0</v>
      </c>
      <c r="G145" s="14">
        <f>Неделя!G145</f>
        <v>0</v>
      </c>
      <c r="H145" s="14">
        <f>Неделя!I145</f>
        <v>0</v>
      </c>
      <c r="I145" s="14">
        <f>Неделя!O145</f>
        <v>0</v>
      </c>
    </row>
    <row r="146" spans="1:9" hidden="1">
      <c r="A146" s="14" t="str">
        <f>Неделя!A146</f>
        <v>чунунок к. Мяготина-1x180</v>
      </c>
      <c r="B146" s="14">
        <f>Неделя!B146</f>
        <v>2.0699999999999998</v>
      </c>
      <c r="C146" s="14">
        <f>Неделя!C146</f>
        <v>1</v>
      </c>
      <c r="D146" s="14">
        <f>Неделя!D146</f>
        <v>0</v>
      </c>
      <c r="E146" s="14">
        <f>Неделя!E146</f>
        <v>0</v>
      </c>
      <c r="F146" s="14">
        <f>Неделя!F146</f>
        <v>0</v>
      </c>
      <c r="G146" s="14">
        <f>Неделя!G146</f>
        <v>0</v>
      </c>
      <c r="H146" s="14">
        <f>Неделя!I146</f>
        <v>0</v>
      </c>
      <c r="I146" s="14">
        <f>Неделя!O146</f>
        <v>0</v>
      </c>
    </row>
    <row r="147" spans="1:9" hidden="1">
      <c r="A147" s="15" t="str">
        <f>Неделя!A147</f>
        <v>Швейный мир 2-60х80</v>
      </c>
      <c r="B147" s="15">
        <f>Неделя!B147</f>
        <v>2.5499999999999998</v>
      </c>
      <c r="C147" s="14">
        <f>Неделя!C147</f>
        <v>0</v>
      </c>
      <c r="D147" s="14">
        <f>Неделя!D147</f>
        <v>0</v>
      </c>
      <c r="E147" s="14">
        <f>Неделя!E147</f>
        <v>2</v>
      </c>
      <c r="F147" s="14">
        <f>Неделя!F147</f>
        <v>0</v>
      </c>
      <c r="G147" s="14">
        <f>Неделя!G147</f>
        <v>0</v>
      </c>
      <c r="H147" s="14">
        <f>Неделя!I147</f>
        <v>0</v>
      </c>
      <c r="I147" s="14">
        <f>Неделя!O147</f>
        <v>0</v>
      </c>
    </row>
    <row r="148" spans="1:9" hidden="1">
      <c r="A148" s="14">
        <f>Неделя!A148</f>
        <v>0</v>
      </c>
      <c r="B148" s="14">
        <f>Неделя!B148</f>
        <v>0</v>
      </c>
      <c r="C148" s="14">
        <f>Неделя!C148</f>
        <v>0</v>
      </c>
      <c r="D148" s="14">
        <f>Неделя!D148</f>
        <v>0</v>
      </c>
      <c r="E148" s="14">
        <f>Неделя!E148</f>
        <v>0</v>
      </c>
      <c r="F148" s="14">
        <f>Неделя!F148</f>
        <v>0</v>
      </c>
      <c r="G148" s="14">
        <f>Неделя!G148</f>
        <v>0</v>
      </c>
      <c r="H148" s="14">
        <f>Неделя!I148</f>
        <v>0</v>
      </c>
      <c r="I148" s="14">
        <f>Неделя!O148</f>
        <v>0</v>
      </c>
    </row>
    <row r="149" spans="1:9" hidden="1">
      <c r="A149" s="14" t="str">
        <f>Неделя!A149</f>
        <v>Эльшуз 150 </v>
      </c>
      <c r="B149" s="14">
        <f>Неделя!B149</f>
        <v>1.2749999999999999</v>
      </c>
      <c r="C149" s="14">
        <f>Неделя!C149</f>
        <v>0</v>
      </c>
      <c r="D149" s="14">
        <f>Неделя!D149</f>
        <v>1</v>
      </c>
      <c r="E149" s="14">
        <f>Неделя!E149</f>
        <v>0</v>
      </c>
      <c r="F149" s="14">
        <f>Неделя!F149</f>
        <v>0</v>
      </c>
      <c r="G149" s="14">
        <f>Неделя!G149</f>
        <v>0</v>
      </c>
      <c r="H149" s="14">
        <f>Неделя!I149</f>
        <v>0</v>
      </c>
      <c r="I149" s="14">
        <f>Неделя!O149</f>
        <v>0</v>
      </c>
    </row>
    <row r="150" spans="1:9" hidden="1">
      <c r="A150" s="14" t="str">
        <f>Неделя!A150</f>
        <v>Япошка Юбилейный 150 резаный</v>
      </c>
      <c r="B150" s="14">
        <f>Неделя!B150</f>
        <v>1.2749999999999999</v>
      </c>
      <c r="C150" s="14">
        <f>Неделя!C150</f>
        <v>0</v>
      </c>
      <c r="D150" s="14">
        <f>Неделя!D150</f>
        <v>1</v>
      </c>
      <c r="E150" s="14">
        <f>Неделя!E150</f>
        <v>0</v>
      </c>
      <c r="F150" s="14">
        <f>Неделя!F150</f>
        <v>0</v>
      </c>
      <c r="G150" s="14">
        <f>Неделя!G150</f>
        <v>0</v>
      </c>
      <c r="H150" s="14">
        <f>Неделя!I150</f>
        <v>0</v>
      </c>
      <c r="I150" s="14">
        <f>Неделя!O150</f>
        <v>0</v>
      </c>
    </row>
    <row r="151" spans="1:9" hidden="1">
      <c r="A151" s="15" t="str">
        <f>Неделя!A151</f>
        <v>Plaza томина 150 ноябрь </v>
      </c>
      <c r="B151" s="14">
        <f>Неделя!B151</f>
        <v>1.2749999999999999</v>
      </c>
      <c r="C151" s="14">
        <f>Неделя!C151</f>
        <v>0</v>
      </c>
      <c r="D151" s="14">
        <f>Неделя!D151</f>
        <v>1</v>
      </c>
      <c r="E151" s="14">
        <f>Неделя!E151</f>
        <v>0</v>
      </c>
      <c r="F151" s="14">
        <f>Неделя!F151</f>
        <v>0</v>
      </c>
      <c r="G151" s="14">
        <f>Неделя!G151</f>
        <v>0</v>
      </c>
      <c r="H151" s="14">
        <f>Неделя!I151</f>
        <v>0</v>
      </c>
      <c r="I151" s="14">
        <f>Неделя!O151</f>
        <v>0</v>
      </c>
    </row>
    <row r="152" spans="1:9" hidden="1">
      <c r="A152" s="14" t="str">
        <f>Неделя!A152</f>
        <v>SoupRamen 180  </v>
      </c>
      <c r="B152" s="14">
        <f>Неделя!B152</f>
        <v>2.0699999999999998</v>
      </c>
      <c r="C152" s="14">
        <f>Неделя!C152</f>
        <v>1</v>
      </c>
      <c r="D152" s="14">
        <f>Неделя!D152</f>
        <v>0</v>
      </c>
      <c r="E152" s="14">
        <f>Неделя!E152</f>
        <v>0</v>
      </c>
      <c r="F152" s="14">
        <f>Неделя!F152</f>
        <v>0</v>
      </c>
      <c r="G152" s="14">
        <f>Неделя!G152</f>
        <v>0</v>
      </c>
      <c r="H152" s="14">
        <f>Неделя!I152</f>
        <v>0</v>
      </c>
      <c r="I152" s="14">
        <f>Неделя!O152</f>
        <v>0</v>
      </c>
    </row>
    <row r="153" spans="1:9">
      <c r="A153" s="14">
        <f>Неделя!A154</f>
        <v>0</v>
      </c>
      <c r="B153" s="14">
        <f>SUBTOTAL(9,B1:B152)</f>
        <v>147.22999999999996</v>
      </c>
      <c r="C153" s="14">
        <f>Неделя!C154</f>
        <v>180</v>
      </c>
      <c r="D153" s="14">
        <f>Неделя!D154</f>
        <v>150</v>
      </c>
      <c r="E153" s="14" t="str">
        <f>Неделя!E154</f>
        <v xml:space="preserve">рез </v>
      </c>
      <c r="F153" s="14">
        <f>Неделя!F154</f>
        <v>400</v>
      </c>
      <c r="G153" s="14">
        <f>Неделя!G154</f>
        <v>250</v>
      </c>
      <c r="H153" s="14" t="str">
        <f>Неделя!I154</f>
        <v>пн</v>
      </c>
      <c r="I153" s="14" t="str">
        <f>Неделя!O154</f>
        <v>пн</v>
      </c>
    </row>
    <row r="154" spans="1:9" hidden="1">
      <c r="A154" s="14">
        <f>Неделя!A155</f>
        <v>0</v>
      </c>
      <c r="B154" s="14">
        <f>Неделя!B155</f>
        <v>98.50999999999992</v>
      </c>
      <c r="C154" s="14">
        <f>Неделя!C155</f>
        <v>180</v>
      </c>
      <c r="D154" s="14">
        <f>Неделя!D155</f>
        <v>150</v>
      </c>
      <c r="E154" s="14" t="str">
        <f>Неделя!E155</f>
        <v xml:space="preserve">рез </v>
      </c>
      <c r="F154" s="14">
        <f>Неделя!F155</f>
        <v>400</v>
      </c>
      <c r="G154" s="14">
        <f>Неделя!G155</f>
        <v>250</v>
      </c>
      <c r="H154" s="14">
        <f>Неделя!I155</f>
        <v>0</v>
      </c>
      <c r="I154" s="14">
        <f>Неделя!O155</f>
        <v>147.22999999999996</v>
      </c>
    </row>
    <row r="155" spans="1:9" hidden="1">
      <c r="A155" s="14">
        <f>Неделя!A156</f>
        <v>0</v>
      </c>
      <c r="B155" s="14">
        <f>Неделя!B156</f>
        <v>0</v>
      </c>
      <c r="C155" s="14">
        <f>Неделя!C156</f>
        <v>28</v>
      </c>
      <c r="D155" s="14">
        <f>Неделя!D156</f>
        <v>23</v>
      </c>
      <c r="E155" s="14">
        <f>Неделя!E156</f>
        <v>3</v>
      </c>
      <c r="F155" s="14">
        <f>Неделя!F156</f>
        <v>1</v>
      </c>
      <c r="G155" s="14">
        <f>Неделя!G156</f>
        <v>1</v>
      </c>
      <c r="H155" s="14">
        <f>Неделя!I156</f>
        <v>0</v>
      </c>
      <c r="I155" s="14">
        <f>Неделя!O156</f>
        <v>0</v>
      </c>
    </row>
    <row r="156" spans="1:9" hidden="1">
      <c r="A156" s="14">
        <f>Неделя!A157</f>
        <v>0</v>
      </c>
      <c r="B156" s="14">
        <f>Неделя!B157</f>
        <v>0</v>
      </c>
      <c r="C156" s="14">
        <f>Неделя!C157</f>
        <v>0</v>
      </c>
      <c r="D156" s="14">
        <f>Неделя!D157</f>
        <v>0</v>
      </c>
      <c r="E156" s="14">
        <f>Неделя!E157</f>
        <v>0</v>
      </c>
      <c r="F156" s="14">
        <f>Неделя!F157</f>
        <v>0</v>
      </c>
      <c r="G156" s="14">
        <f>Неделя!G157</f>
        <v>0</v>
      </c>
      <c r="H156" s="14">
        <f>Неделя!I157</f>
        <v>0</v>
      </c>
      <c r="I156" s="14">
        <f>Неделя!O157</f>
        <v>0</v>
      </c>
    </row>
    <row r="157" spans="1:9" hidden="1">
      <c r="A157" s="14">
        <f>Неделя!A158</f>
        <v>0</v>
      </c>
      <c r="B157" s="14">
        <f>Неделя!B158</f>
        <v>0</v>
      </c>
      <c r="C157" s="14">
        <f>Неделя!C158</f>
        <v>0</v>
      </c>
      <c r="D157" s="14">
        <f>Неделя!D158</f>
        <v>0</v>
      </c>
      <c r="E157" s="14">
        <f>Неделя!E158</f>
        <v>0</v>
      </c>
      <c r="F157" s="14">
        <f>Неделя!F158</f>
        <v>0</v>
      </c>
      <c r="G157" s="14">
        <f>Неделя!G158</f>
        <v>0</v>
      </c>
      <c r="H157" s="14">
        <f>Неделя!I158</f>
        <v>0</v>
      </c>
      <c r="I157" s="14">
        <f>Неделя!O158</f>
        <v>0</v>
      </c>
    </row>
    <row r="158" spans="1:9" hidden="1">
      <c r="A158" s="14">
        <f>Неделя!A159</f>
        <v>0</v>
      </c>
      <c r="B158" s="14">
        <f>Неделя!B159</f>
        <v>0</v>
      </c>
      <c r="C158" s="14">
        <f>Неделя!C159</f>
        <v>0</v>
      </c>
      <c r="D158" s="14">
        <f>Неделя!D159</f>
        <v>0</v>
      </c>
      <c r="E158" s="14">
        <f>Неделя!E159</f>
        <v>0</v>
      </c>
      <c r="F158" s="14">
        <f>Неделя!F159</f>
        <v>0</v>
      </c>
      <c r="G158" s="14">
        <f>Неделя!G159</f>
        <v>0</v>
      </c>
      <c r="H158" s="14">
        <f>Неделя!I159</f>
        <v>0</v>
      </c>
      <c r="I158" s="14">
        <f>Неделя!O159</f>
        <v>0</v>
      </c>
    </row>
    <row r="159" spans="1:9" hidden="1">
      <c r="A159" s="14">
        <f>Неделя!A160</f>
        <v>0</v>
      </c>
      <c r="B159" s="14">
        <f>Неделя!B160</f>
        <v>0</v>
      </c>
      <c r="C159" s="14">
        <f>Неделя!C160</f>
        <v>0</v>
      </c>
      <c r="D159" s="14">
        <f>Неделя!D160</f>
        <v>0</v>
      </c>
      <c r="E159" s="14">
        <f>Неделя!E160</f>
        <v>0</v>
      </c>
      <c r="F159" s="14">
        <f>Неделя!F160</f>
        <v>0</v>
      </c>
      <c r="G159" s="14">
        <f>Неделя!G160</f>
        <v>0</v>
      </c>
      <c r="H159" s="14">
        <f>Неделя!I160</f>
        <v>0</v>
      </c>
      <c r="I159" s="14">
        <f>Неделя!O160</f>
        <v>0</v>
      </c>
    </row>
    <row r="160" spans="1:9" hidden="1">
      <c r="A160" s="14">
        <f>Неделя!A161</f>
        <v>0</v>
      </c>
      <c r="B160" s="14">
        <f>Неделя!B161</f>
        <v>0</v>
      </c>
      <c r="C160" s="14">
        <f>Неделя!C161</f>
        <v>0</v>
      </c>
      <c r="D160" s="14">
        <f>Неделя!D161</f>
        <v>0</v>
      </c>
      <c r="E160" s="14">
        <f>Неделя!E161</f>
        <v>0</v>
      </c>
      <c r="F160" s="14">
        <f>Неделя!F161</f>
        <v>0</v>
      </c>
      <c r="G160" s="14">
        <f>Неделя!G161</f>
        <v>0</v>
      </c>
      <c r="H160" s="14">
        <f>Неделя!I161</f>
        <v>0</v>
      </c>
      <c r="I160" s="14">
        <f>Неделя!O161</f>
        <v>0</v>
      </c>
    </row>
    <row r="161" spans="1:9" hidden="1">
      <c r="A161" s="14">
        <f>Неделя!A162</f>
        <v>0</v>
      </c>
      <c r="B161" s="14">
        <f>Неделя!B162</f>
        <v>0</v>
      </c>
      <c r="C161" s="14">
        <f>Неделя!C162</f>
        <v>0</v>
      </c>
      <c r="D161" s="14">
        <f>Неделя!D162</f>
        <v>0</v>
      </c>
      <c r="E161" s="14">
        <f>Неделя!E162</f>
        <v>0</v>
      </c>
      <c r="F161" s="14">
        <f>Неделя!F162</f>
        <v>0</v>
      </c>
      <c r="G161" s="14">
        <f>Неделя!G162</f>
        <v>0</v>
      </c>
      <c r="H161" s="14">
        <f>Неделя!I162</f>
        <v>0</v>
      </c>
      <c r="I161" s="14">
        <f>Неделя!O162</f>
        <v>0</v>
      </c>
    </row>
    <row r="162" spans="1:9" hidden="1">
      <c r="A162" s="14">
        <f>Неделя!A163</f>
        <v>0</v>
      </c>
      <c r="B162" s="14">
        <f>Неделя!B163</f>
        <v>0</v>
      </c>
      <c r="C162" s="14">
        <f>Неделя!C163</f>
        <v>0</v>
      </c>
      <c r="D162" s="14">
        <f>Неделя!D163</f>
        <v>0</v>
      </c>
      <c r="E162" s="14">
        <f>Неделя!E163</f>
        <v>0</v>
      </c>
      <c r="F162" s="14">
        <f>Неделя!F163</f>
        <v>0</v>
      </c>
      <c r="G162" s="14">
        <f>Неделя!G163</f>
        <v>0</v>
      </c>
      <c r="H162" s="14">
        <f>Неделя!I163</f>
        <v>0</v>
      </c>
      <c r="I162" s="14">
        <f>Неделя!O163</f>
        <v>0</v>
      </c>
    </row>
    <row r="163" spans="1:9" hidden="1">
      <c r="A163" s="14">
        <f>Неделя!A164</f>
        <v>0</v>
      </c>
      <c r="B163" s="14">
        <f>Неделя!B164</f>
        <v>0</v>
      </c>
      <c r="C163" s="14">
        <f>Неделя!C164</f>
        <v>0</v>
      </c>
      <c r="D163" s="14">
        <f>Неделя!D164</f>
        <v>0</v>
      </c>
      <c r="E163" s="14">
        <f>Неделя!E164</f>
        <v>0</v>
      </c>
      <c r="F163" s="14">
        <f>Неделя!F164</f>
        <v>0</v>
      </c>
      <c r="G163" s="14">
        <f>Неделя!G164</f>
        <v>0</v>
      </c>
      <c r="H163" s="14">
        <f>Неделя!I164</f>
        <v>0</v>
      </c>
      <c r="I163" s="14">
        <f>Неделя!O164</f>
        <v>0</v>
      </c>
    </row>
    <row r="164" spans="1:9" hidden="1">
      <c r="A164" s="14">
        <f>Неделя!A165</f>
        <v>0</v>
      </c>
      <c r="B164" s="14">
        <f>Неделя!B165</f>
        <v>0</v>
      </c>
      <c r="C164" s="14">
        <f>Неделя!C165</f>
        <v>0</v>
      </c>
      <c r="D164" s="14">
        <f>Неделя!D165</f>
        <v>0</v>
      </c>
      <c r="E164" s="14">
        <f>Неделя!E165</f>
        <v>0</v>
      </c>
      <c r="F164" s="14">
        <f>Неделя!F165</f>
        <v>0</v>
      </c>
      <c r="G164" s="14">
        <f>Неделя!G165</f>
        <v>0</v>
      </c>
      <c r="H164" s="14">
        <f>Неделя!I165</f>
        <v>0</v>
      </c>
      <c r="I164" s="14">
        <f>Неделя!O165</f>
        <v>0</v>
      </c>
    </row>
    <row r="165" spans="1:9" hidden="1">
      <c r="A165" s="14">
        <f>Неделя!A166</f>
        <v>0</v>
      </c>
      <c r="B165" s="14">
        <f>Неделя!B166</f>
        <v>0</v>
      </c>
      <c r="C165" s="14">
        <f>Неделя!C166</f>
        <v>0</v>
      </c>
      <c r="D165" s="14">
        <f>Неделя!D166</f>
        <v>0</v>
      </c>
      <c r="E165" s="14">
        <f>Неделя!E166</f>
        <v>0</v>
      </c>
      <c r="F165" s="14">
        <f>Неделя!F166</f>
        <v>0</v>
      </c>
      <c r="G165" s="14">
        <f>Неделя!G166</f>
        <v>0</v>
      </c>
      <c r="H165" s="14">
        <f>Неделя!I166</f>
        <v>0</v>
      </c>
      <c r="I165" s="14">
        <f>Неделя!O166</f>
        <v>0</v>
      </c>
    </row>
    <row r="166" spans="1:9" hidden="1">
      <c r="A166" s="14">
        <f>Неделя!A167</f>
        <v>0</v>
      </c>
      <c r="B166" s="14">
        <f>Неделя!B167</f>
        <v>0</v>
      </c>
      <c r="C166" s="14">
        <f>Неделя!C167</f>
        <v>0</v>
      </c>
      <c r="D166" s="14">
        <f>Неделя!D167</f>
        <v>0</v>
      </c>
      <c r="E166" s="14">
        <f>Неделя!E167</f>
        <v>0</v>
      </c>
      <c r="F166" s="14">
        <f>Неделя!F167</f>
        <v>0</v>
      </c>
      <c r="G166" s="14">
        <f>Неделя!G167</f>
        <v>0</v>
      </c>
      <c r="H166" s="14">
        <f>Неделя!I167</f>
        <v>0</v>
      </c>
      <c r="I166" s="14">
        <f>Неделя!O167</f>
        <v>0</v>
      </c>
    </row>
    <row r="167" spans="1:9" hidden="1">
      <c r="A167" s="14">
        <f>Неделя!A168</f>
        <v>0</v>
      </c>
      <c r="B167" s="14">
        <f>Неделя!B168</f>
        <v>0</v>
      </c>
      <c r="C167" s="14">
        <f>Неделя!C168</f>
        <v>0</v>
      </c>
      <c r="D167" s="14">
        <f>Неделя!D168</f>
        <v>0</v>
      </c>
      <c r="E167" s="14">
        <f>Неделя!E168</f>
        <v>0</v>
      </c>
      <c r="F167" s="14">
        <f>Неделя!F168</f>
        <v>0</v>
      </c>
      <c r="G167" s="14">
        <f>Неделя!G168</f>
        <v>0</v>
      </c>
      <c r="H167" s="14">
        <f>Неделя!I168</f>
        <v>0</v>
      </c>
      <c r="I167" s="14">
        <f>Неделя!O168</f>
        <v>0</v>
      </c>
    </row>
    <row r="168" spans="1:9" hidden="1">
      <c r="A168" s="14">
        <f>Неделя!A169</f>
        <v>0</v>
      </c>
      <c r="B168" s="14">
        <f>Неделя!B169</f>
        <v>0</v>
      </c>
      <c r="C168" s="14">
        <f>Неделя!C169</f>
        <v>0</v>
      </c>
      <c r="D168" s="14">
        <f>Неделя!D169</f>
        <v>0</v>
      </c>
      <c r="E168" s="14">
        <f>Неделя!E169</f>
        <v>0</v>
      </c>
      <c r="F168" s="14">
        <f>Неделя!F169</f>
        <v>0</v>
      </c>
      <c r="G168" s="14">
        <f>Неделя!G169</f>
        <v>0</v>
      </c>
      <c r="H168" s="14">
        <f>Неделя!I169</f>
        <v>0</v>
      </c>
      <c r="I168" s="14">
        <f>Неделя!O169</f>
        <v>0</v>
      </c>
    </row>
    <row r="169" spans="1:9" hidden="1">
      <c r="A169" s="14">
        <f>Неделя!A170</f>
        <v>0</v>
      </c>
      <c r="B169" s="14">
        <f>Неделя!B170</f>
        <v>0</v>
      </c>
      <c r="C169" s="14">
        <f>Неделя!C170</f>
        <v>0</v>
      </c>
      <c r="D169" s="14">
        <f>Неделя!D170</f>
        <v>0</v>
      </c>
      <c r="E169" s="14">
        <f>Неделя!E170</f>
        <v>0</v>
      </c>
      <c r="F169" s="14">
        <f>Неделя!F170</f>
        <v>0</v>
      </c>
      <c r="G169" s="14">
        <f>Неделя!G170</f>
        <v>0</v>
      </c>
      <c r="H169" s="14">
        <f>Неделя!I170</f>
        <v>0</v>
      </c>
      <c r="I169" s="14">
        <f>Неделя!O170</f>
        <v>0</v>
      </c>
    </row>
    <row r="170" spans="1:9" hidden="1">
      <c r="A170" s="14">
        <f>Неделя!A171</f>
        <v>0</v>
      </c>
      <c r="B170" s="14">
        <f>Неделя!B171</f>
        <v>0</v>
      </c>
      <c r="C170" s="14">
        <f>Неделя!C171</f>
        <v>0</v>
      </c>
      <c r="D170" s="14">
        <f>Неделя!D171</f>
        <v>0</v>
      </c>
      <c r="E170" s="14">
        <f>Неделя!E171</f>
        <v>0</v>
      </c>
      <c r="F170" s="14">
        <f>Неделя!F171</f>
        <v>0</v>
      </c>
      <c r="G170" s="14">
        <f>Неделя!G171</f>
        <v>0</v>
      </c>
      <c r="H170" s="14">
        <f>Неделя!I171</f>
        <v>0</v>
      </c>
      <c r="I170" s="14">
        <f>Неделя!O171</f>
        <v>0</v>
      </c>
    </row>
    <row r="171" spans="1:9" hidden="1">
      <c r="A171" s="14">
        <f>Неделя!A172</f>
        <v>0</v>
      </c>
      <c r="B171" s="14">
        <f>Неделя!B172</f>
        <v>0</v>
      </c>
      <c r="C171" s="14">
        <f>Неделя!C172</f>
        <v>0</v>
      </c>
      <c r="D171" s="14">
        <f>Неделя!D172</f>
        <v>0</v>
      </c>
      <c r="E171" s="14">
        <f>Неделя!E172</f>
        <v>0</v>
      </c>
      <c r="F171" s="14">
        <f>Неделя!F172</f>
        <v>0</v>
      </c>
      <c r="G171" s="14">
        <f>Неделя!G172</f>
        <v>0</v>
      </c>
      <c r="H171" s="14">
        <f>Неделя!I172</f>
        <v>0</v>
      </c>
      <c r="I171" s="14">
        <f>Неделя!O172</f>
        <v>0</v>
      </c>
    </row>
    <row r="172" spans="1:9" hidden="1">
      <c r="A172" s="14">
        <f>Неделя!A173</f>
        <v>0</v>
      </c>
      <c r="B172" s="14">
        <f>Неделя!B173</f>
        <v>0</v>
      </c>
      <c r="C172" s="14">
        <f>Неделя!C173</f>
        <v>0</v>
      </c>
      <c r="D172" s="14">
        <f>Неделя!D173</f>
        <v>0</v>
      </c>
      <c r="E172" s="14">
        <f>Неделя!E173</f>
        <v>0</v>
      </c>
      <c r="F172" s="14">
        <f>Неделя!F173</f>
        <v>0</v>
      </c>
      <c r="G172" s="14">
        <f>Неделя!G173</f>
        <v>0</v>
      </c>
      <c r="H172" s="14">
        <f>Неделя!I173</f>
        <v>0</v>
      </c>
      <c r="I172" s="14">
        <f>Неделя!O173</f>
        <v>0</v>
      </c>
    </row>
    <row r="173" spans="1:9" hidden="1">
      <c r="A173" s="14">
        <f>Неделя!A174</f>
        <v>0</v>
      </c>
      <c r="B173" s="14">
        <f>Неделя!B174</f>
        <v>0</v>
      </c>
      <c r="C173" s="14">
        <f>Неделя!C174</f>
        <v>0</v>
      </c>
      <c r="D173" s="14">
        <f>Неделя!D174</f>
        <v>0</v>
      </c>
      <c r="E173" s="14">
        <f>Неделя!E174</f>
        <v>0</v>
      </c>
      <c r="F173" s="14">
        <f>Неделя!F174</f>
        <v>0</v>
      </c>
      <c r="G173" s="14">
        <f>Неделя!G174</f>
        <v>0</v>
      </c>
      <c r="H173" s="14">
        <f>Неделя!I174</f>
        <v>0</v>
      </c>
      <c r="I173" s="14">
        <f>Неделя!O174</f>
        <v>0</v>
      </c>
    </row>
    <row r="174" spans="1:9" hidden="1">
      <c r="A174" s="14">
        <f>Неделя!A175</f>
        <v>0</v>
      </c>
      <c r="B174" s="14">
        <f>Неделя!B175</f>
        <v>0</v>
      </c>
      <c r="C174" s="14">
        <f>Неделя!C175</f>
        <v>0</v>
      </c>
      <c r="D174" s="14">
        <f>Неделя!D175</f>
        <v>0</v>
      </c>
      <c r="E174" s="14">
        <f>Неделя!E175</f>
        <v>0</v>
      </c>
      <c r="F174" s="14">
        <f>Неделя!F175</f>
        <v>0</v>
      </c>
      <c r="G174" s="14">
        <f>Неделя!G175</f>
        <v>0</v>
      </c>
      <c r="H174" s="14">
        <f>Неделя!I175</f>
        <v>0</v>
      </c>
      <c r="I174" s="14">
        <f>Неделя!O175</f>
        <v>0</v>
      </c>
    </row>
    <row r="175" spans="1:9" hidden="1">
      <c r="A175" s="14">
        <f>Неделя!A176</f>
        <v>0</v>
      </c>
      <c r="B175" s="14">
        <f>Неделя!B176</f>
        <v>0</v>
      </c>
      <c r="C175" s="14">
        <f>Неделя!C176</f>
        <v>0</v>
      </c>
      <c r="D175" s="14">
        <f>Неделя!D176</f>
        <v>0</v>
      </c>
      <c r="E175" s="14">
        <f>Неделя!E176</f>
        <v>0</v>
      </c>
      <c r="F175" s="14">
        <f>Неделя!F176</f>
        <v>0</v>
      </c>
      <c r="G175" s="14">
        <f>Неделя!G176</f>
        <v>0</v>
      </c>
      <c r="H175" s="14">
        <f>Неделя!I176</f>
        <v>0</v>
      </c>
      <c r="I175" s="14">
        <f>Неделя!O176</f>
        <v>0</v>
      </c>
    </row>
    <row r="176" spans="1:9" hidden="1">
      <c r="A176" s="14">
        <f>Неделя!A177</f>
        <v>0</v>
      </c>
      <c r="B176" s="14">
        <f>Неделя!B177</f>
        <v>0</v>
      </c>
      <c r="C176" s="14">
        <f>Неделя!C177</f>
        <v>0</v>
      </c>
      <c r="D176" s="14">
        <f>Неделя!D177</f>
        <v>0</v>
      </c>
      <c r="E176" s="14">
        <f>Неделя!E177</f>
        <v>0</v>
      </c>
      <c r="F176" s="14">
        <f>Неделя!F177</f>
        <v>0</v>
      </c>
      <c r="G176" s="14">
        <f>Неделя!G177</f>
        <v>0</v>
      </c>
      <c r="H176" s="14">
        <f>Неделя!I177</f>
        <v>0</v>
      </c>
      <c r="I176" s="14">
        <f>Неделя!O177</f>
        <v>0</v>
      </c>
    </row>
    <row r="177" spans="1:9" hidden="1">
      <c r="A177" s="14">
        <f>Неделя!A178</f>
        <v>0</v>
      </c>
      <c r="B177" s="14">
        <f>Неделя!B178</f>
        <v>0</v>
      </c>
      <c r="C177" s="14">
        <f>Неделя!C178</f>
        <v>0</v>
      </c>
      <c r="D177" s="14">
        <f>Неделя!D178</f>
        <v>0</v>
      </c>
      <c r="E177" s="14">
        <f>Неделя!E178</f>
        <v>0</v>
      </c>
      <c r="F177" s="14">
        <f>Неделя!F178</f>
        <v>0</v>
      </c>
      <c r="G177" s="14">
        <f>Неделя!G178</f>
        <v>0</v>
      </c>
      <c r="H177" s="14">
        <f>Неделя!I178</f>
        <v>0</v>
      </c>
      <c r="I177" s="14">
        <f>Неделя!O178</f>
        <v>0</v>
      </c>
    </row>
    <row r="178" spans="1:9" hidden="1">
      <c r="A178" s="14">
        <f>Неделя!A179</f>
        <v>0</v>
      </c>
      <c r="B178" s="14">
        <f>Неделя!B179</f>
        <v>0</v>
      </c>
      <c r="C178" s="14">
        <f>Неделя!C179</f>
        <v>0</v>
      </c>
      <c r="D178" s="14">
        <f>Неделя!D179</f>
        <v>0</v>
      </c>
      <c r="E178" s="14">
        <f>Неделя!E179</f>
        <v>0</v>
      </c>
      <c r="F178" s="14">
        <f>Неделя!F179</f>
        <v>0</v>
      </c>
      <c r="G178" s="14">
        <f>Неделя!G179</f>
        <v>0</v>
      </c>
      <c r="H178" s="14">
        <f>Неделя!I179</f>
        <v>0</v>
      </c>
      <c r="I178" s="14">
        <f>Неделя!O179</f>
        <v>0</v>
      </c>
    </row>
    <row r="179" spans="1:9" hidden="1">
      <c r="A179" s="14">
        <f>Неделя!A180</f>
        <v>0</v>
      </c>
      <c r="B179" s="14">
        <f>Неделя!B180</f>
        <v>0</v>
      </c>
      <c r="C179" s="14">
        <f>Неделя!C180</f>
        <v>0</v>
      </c>
      <c r="D179" s="14">
        <f>Неделя!D180</f>
        <v>0</v>
      </c>
      <c r="E179" s="14">
        <f>Неделя!E180</f>
        <v>0</v>
      </c>
      <c r="F179" s="14">
        <f>Неделя!F180</f>
        <v>0</v>
      </c>
      <c r="G179" s="14">
        <f>Неделя!G180</f>
        <v>0</v>
      </c>
      <c r="H179" s="14">
        <f>Неделя!I180</f>
        <v>0</v>
      </c>
      <c r="I179" s="14">
        <f>Неделя!O180</f>
        <v>0</v>
      </c>
    </row>
    <row r="180" spans="1:9" hidden="1">
      <c r="A180" s="14">
        <f>Неделя!A181</f>
        <v>0</v>
      </c>
      <c r="B180" s="14">
        <f>Неделя!B181</f>
        <v>0</v>
      </c>
      <c r="C180" s="14">
        <f>Неделя!C181</f>
        <v>0</v>
      </c>
      <c r="D180" s="14">
        <f>Неделя!D181</f>
        <v>0</v>
      </c>
      <c r="E180" s="14">
        <f>Неделя!E181</f>
        <v>0</v>
      </c>
      <c r="F180" s="14">
        <f>Неделя!F181</f>
        <v>0</v>
      </c>
      <c r="G180" s="14">
        <f>Неделя!G181</f>
        <v>0</v>
      </c>
      <c r="H180" s="14">
        <f>Неделя!I181</f>
        <v>0</v>
      </c>
      <c r="I180" s="14">
        <f>Неделя!O181</f>
        <v>0</v>
      </c>
    </row>
    <row r="181" spans="1:9">
      <c r="C181" s="14">
        <f>SUBTOTAL(9,C1:C152)</f>
        <v>44</v>
      </c>
    </row>
  </sheetData>
  <sheetProtection selectLockedCells="1" selectUnlockedCells="1"/>
  <autoFilter ref="A1:I180">
    <filterColumn colId="7">
      <filters>
        <filter val="1"/>
        <filter val="пн"/>
      </filters>
    </filterColumn>
  </autoFilter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65467"/>
  <sheetViews>
    <sheetView topLeftCell="A11" zoomScale="73" zoomScaleNormal="73" workbookViewId="0">
      <selection activeCell="B162" sqref="B162"/>
    </sheetView>
  </sheetViews>
  <sheetFormatPr defaultColWidth="11.5703125" defaultRowHeight="15"/>
  <cols>
    <col min="1" max="1" width="51.28515625" style="14" customWidth="1"/>
    <col min="2" max="2" width="6.5703125" style="14" customWidth="1"/>
    <col min="3" max="8" width="5.140625" style="14" customWidth="1"/>
    <col min="9" max="16384" width="11.5703125" style="14"/>
  </cols>
  <sheetData>
    <row r="1" spans="1:8">
      <c r="A1" s="15" t="str">
        <f>Неделя!A1</f>
        <v>Велес гоголя 180</v>
      </c>
      <c r="B1" s="15">
        <f>Неделя!B1</f>
        <v>2.0699999999999998</v>
      </c>
      <c r="C1" s="15">
        <f>Неделя!C1</f>
        <v>1</v>
      </c>
      <c r="D1" s="15">
        <f>Неделя!D1</f>
        <v>0</v>
      </c>
      <c r="E1" s="15">
        <f>Неделя!E1</f>
        <v>0</v>
      </c>
      <c r="F1" s="15">
        <f>Неделя!F1</f>
        <v>0</v>
      </c>
      <c r="G1" s="15">
        <f>Неделя!G1</f>
        <v>0</v>
      </c>
      <c r="H1" s="15">
        <f>Неделя!J1</f>
        <v>1</v>
      </c>
    </row>
    <row r="2" spans="1:8">
      <c r="A2" s="14" t="str">
        <f>Неделя!A2</f>
        <v>Велес красина 180</v>
      </c>
      <c r="B2" s="14">
        <f>Неделя!B2</f>
        <v>2.0699999999999998</v>
      </c>
      <c r="C2" s="14">
        <f>Неделя!C2</f>
        <v>1</v>
      </c>
      <c r="D2" s="14">
        <f>Неделя!D2</f>
        <v>0</v>
      </c>
      <c r="E2" s="14">
        <f>Неделя!E2</f>
        <v>0</v>
      </c>
      <c r="F2" s="14">
        <f>Неделя!F2</f>
        <v>0</v>
      </c>
      <c r="G2" s="14">
        <f>Неделя!G2</f>
        <v>0</v>
      </c>
      <c r="H2" s="15">
        <f>Неделя!J2</f>
        <v>1</v>
      </c>
    </row>
    <row r="3" spans="1:8">
      <c r="A3" s="14" t="str">
        <f>Неделя!A3</f>
        <v>департамент финансов советская 66-150 резаный</v>
      </c>
      <c r="B3" s="14">
        <f>Неделя!B3</f>
        <v>1.2749999999999999</v>
      </c>
      <c r="C3" s="14">
        <f>Неделя!C3</f>
        <v>0</v>
      </c>
      <c r="D3" s="14">
        <f>Неделя!D3</f>
        <v>1</v>
      </c>
      <c r="E3" s="14">
        <f>Неделя!E3</f>
        <v>0</v>
      </c>
      <c r="F3" s="14">
        <f>Неделя!F3</f>
        <v>0</v>
      </c>
      <c r="G3" s="14">
        <f>Неделя!G3</f>
        <v>0</v>
      </c>
      <c r="H3" s="15">
        <f>Неделя!J3</f>
        <v>1</v>
      </c>
    </row>
    <row r="4" spans="1:8">
      <c r="A4" s="14" t="str">
        <f>Неделя!A4</f>
        <v>метрополис к. Маркса -2x180, 2x150</v>
      </c>
      <c r="B4" s="14">
        <f>Неделя!B4</f>
        <v>6.6899999999999995</v>
      </c>
      <c r="C4" s="14">
        <f>Неделя!C4</f>
        <v>2</v>
      </c>
      <c r="D4" s="14">
        <f>Неделя!D4</f>
        <v>2</v>
      </c>
      <c r="E4" s="14">
        <f>Неделя!E4</f>
        <v>0</v>
      </c>
      <c r="F4" s="14">
        <f>Неделя!F4</f>
        <v>0</v>
      </c>
      <c r="G4" s="14">
        <f>Неделя!G4</f>
        <v>0</v>
      </c>
      <c r="H4" s="15">
        <f>Неделя!J4</f>
        <v>1</v>
      </c>
    </row>
    <row r="5" spans="1:8">
      <c r="A5" s="14" t="str">
        <f>Неделя!A5</f>
        <v>метрополис Москва-2х180</v>
      </c>
      <c r="B5" s="14">
        <f>Неделя!B5</f>
        <v>4.1399999999999997</v>
      </c>
      <c r="C5" s="14">
        <f>Неделя!C5</f>
        <v>2</v>
      </c>
      <c r="D5" s="14">
        <f>Неделя!D5</f>
        <v>0</v>
      </c>
      <c r="E5" s="14">
        <f>Неделя!E5</f>
        <v>0</v>
      </c>
      <c r="F5" s="14">
        <f>Неделя!F5</f>
        <v>0</v>
      </c>
      <c r="G5" s="14">
        <f>Неделя!G5</f>
        <v>0</v>
      </c>
      <c r="H5" s="15">
        <f>Неделя!J5</f>
        <v>1</v>
      </c>
    </row>
    <row r="6" spans="1:8">
      <c r="A6" s="14" t="str">
        <f>Неделя!A6</f>
        <v>МТС ленина 6 180</v>
      </c>
      <c r="B6" s="14">
        <f>Неделя!B6</f>
        <v>2.0699999999999998</v>
      </c>
      <c r="C6" s="14">
        <f>Неделя!C6</f>
        <v>1</v>
      </c>
      <c r="D6" s="14">
        <f>Неделя!D6</f>
        <v>0</v>
      </c>
      <c r="E6" s="14">
        <f>Неделя!E6</f>
        <v>0</v>
      </c>
      <c r="F6" s="14">
        <f>Неделя!F6</f>
        <v>0</v>
      </c>
      <c r="G6" s="14">
        <f>Неделя!G6</f>
        <v>0</v>
      </c>
      <c r="H6" s="15">
        <f>Неделя!J6</f>
        <v>1</v>
      </c>
    </row>
    <row r="7" spans="1:8">
      <c r="A7" s="14" t="str">
        <f>Неделя!A7</f>
        <v>пальмира Ленина 5- 200 новый  150 нов</v>
      </c>
      <c r="B7" s="14">
        <f>Неделя!B7</f>
        <v>3.3449999999999998</v>
      </c>
      <c r="C7" s="14">
        <f>Неделя!C7</f>
        <v>1</v>
      </c>
      <c r="D7" s="14">
        <f>Неделя!D7</f>
        <v>1</v>
      </c>
      <c r="E7" s="14">
        <f>Неделя!E7</f>
        <v>0</v>
      </c>
      <c r="F7" s="14">
        <f>Неделя!F7</f>
        <v>0</v>
      </c>
      <c r="G7" s="14">
        <f>Неделя!G7</f>
        <v>0</v>
      </c>
      <c r="H7" s="15">
        <f>Неделя!J7</f>
        <v>1</v>
      </c>
    </row>
    <row r="8" spans="1:8">
      <c r="A8" s="14" t="str">
        <f>Неделя!A8</f>
        <v>чунунок к. Мяготина-2x180</v>
      </c>
      <c r="B8" s="14">
        <f>Неделя!B8</f>
        <v>4.1399999999999997</v>
      </c>
      <c r="C8" s="14">
        <f>Неделя!C8</f>
        <v>2</v>
      </c>
      <c r="D8" s="14">
        <f>Неделя!D8</f>
        <v>0</v>
      </c>
      <c r="E8" s="14">
        <f>Неделя!E8</f>
        <v>0</v>
      </c>
      <c r="F8" s="14">
        <f>Неделя!F8</f>
        <v>0</v>
      </c>
      <c r="G8" s="14">
        <f>Неделя!G8</f>
        <v>0</v>
      </c>
      <c r="H8" s="15">
        <f>Неделя!J8</f>
        <v>1</v>
      </c>
    </row>
    <row r="9" spans="1:8">
      <c r="A9" s="14" t="str">
        <f>Неделя!A9</f>
        <v>Сбер академия 2х150 коричнев стар</v>
      </c>
      <c r="B9" s="14">
        <f>Неделя!B9</f>
        <v>2.5499999999999998</v>
      </c>
      <c r="C9" s="14">
        <f>Неделя!C9</f>
        <v>0</v>
      </c>
      <c r="D9" s="14">
        <f>Неделя!D9</f>
        <v>2</v>
      </c>
      <c r="E9" s="14">
        <f>Неделя!E9</f>
        <v>0</v>
      </c>
      <c r="F9" s="14">
        <f>Неделя!F9</f>
        <v>0</v>
      </c>
      <c r="G9" s="14">
        <f>Неделя!G9</f>
        <v>0</v>
      </c>
      <c r="H9" s="15">
        <f>Неделя!J9</f>
        <v>1</v>
      </c>
    </row>
    <row r="10" spans="1:8">
      <c r="A10" s="14" t="str">
        <f>Неделя!A10</f>
        <v>Сбер красина 2х150</v>
      </c>
      <c r="B10" s="14">
        <f>Неделя!B10</f>
        <v>2.5499999999999998</v>
      </c>
      <c r="C10" s="14">
        <f>Неделя!C10</f>
        <v>0</v>
      </c>
      <c r="D10" s="14">
        <f>Неделя!D10</f>
        <v>2</v>
      </c>
      <c r="E10" s="14">
        <f>Неделя!E10</f>
        <v>0</v>
      </c>
      <c r="F10" s="14">
        <f>Неделя!F10</f>
        <v>0</v>
      </c>
      <c r="G10" s="14">
        <f>Неделя!G10</f>
        <v>0</v>
      </c>
      <c r="H10" s="15">
        <f>Неделя!J10</f>
        <v>1</v>
      </c>
    </row>
    <row r="11" spans="1:8">
      <c r="A11" s="14" t="str">
        <f>Неделя!A11</f>
        <v>сбербанк гоголя 98-3ий вход 1 х 150</v>
      </c>
      <c r="B11" s="14">
        <f>Неделя!B11</f>
        <v>1.2749999999999999</v>
      </c>
      <c r="C11" s="14">
        <f>Неделя!C11</f>
        <v>2</v>
      </c>
      <c r="D11" s="14">
        <f>Неделя!D11</f>
        <v>5</v>
      </c>
      <c r="E11" s="14">
        <f>Неделя!E11</f>
        <v>0</v>
      </c>
      <c r="F11" s="14">
        <f>Неделя!F11</f>
        <v>0</v>
      </c>
      <c r="G11" s="14">
        <f>Неделя!G11</f>
        <v>0</v>
      </c>
      <c r="H11" s="15">
        <f>Неделя!J11</f>
        <v>1</v>
      </c>
    </row>
    <row r="12" spans="1:8">
      <c r="A12" s="14" t="str">
        <f>Неделя!A12</f>
        <v>сбербанк гоголя103- 2х150 коричневые</v>
      </c>
      <c r="B12" s="14">
        <f>Неделя!B12</f>
        <v>2.5499999999999998</v>
      </c>
      <c r="C12" s="14">
        <f>Неделя!C12</f>
        <v>0</v>
      </c>
      <c r="D12" s="14">
        <f>Неделя!D12</f>
        <v>2</v>
      </c>
      <c r="E12" s="14">
        <f>Неделя!E12</f>
        <v>0</v>
      </c>
      <c r="F12" s="14">
        <f>Неделя!F12</f>
        <v>0</v>
      </c>
      <c r="G12" s="14">
        <f>Неделя!G12</f>
        <v>0</v>
      </c>
      <c r="H12" s="15">
        <f>Неделя!J12</f>
        <v>1</v>
      </c>
    </row>
    <row r="13" spans="1:8" hidden="1">
      <c r="A13" s="14" t="str">
        <f>Неделя!A13</f>
        <v>Велес дзержинского 180</v>
      </c>
      <c r="B13" s="14">
        <f>Неделя!B13</f>
        <v>2.0699999999999998</v>
      </c>
      <c r="C13" s="14">
        <f>Неделя!C13</f>
        <v>1</v>
      </c>
      <c r="D13" s="14">
        <f>Неделя!D13</f>
        <v>0</v>
      </c>
      <c r="E13" s="14">
        <f>Неделя!E13</f>
        <v>0</v>
      </c>
      <c r="F13" s="14">
        <f>Неделя!F13</f>
        <v>0</v>
      </c>
      <c r="G13" s="14">
        <f>Неделя!G13</f>
        <v>0</v>
      </c>
      <c r="H13" s="15">
        <f>Неделя!J13</f>
        <v>0</v>
      </c>
    </row>
    <row r="14" spans="1:8" hidden="1">
      <c r="A14" s="14" t="str">
        <f>Неделя!A14</f>
        <v>велес юбилейный-150 новый</v>
      </c>
      <c r="B14" s="14">
        <f>Неделя!B14</f>
        <v>1.2749999999999999</v>
      </c>
      <c r="C14" s="14">
        <f>Неделя!C14</f>
        <v>0</v>
      </c>
      <c r="D14" s="14">
        <f>Неделя!D14</f>
        <v>1</v>
      </c>
      <c r="E14" s="14">
        <f>Неделя!E14</f>
        <v>0</v>
      </c>
      <c r="F14" s="14">
        <f>Неделя!F14</f>
        <v>0</v>
      </c>
      <c r="G14" s="14">
        <f>Неделя!G14</f>
        <v>0</v>
      </c>
      <c r="H14" s="15">
        <f>Неделя!J14</f>
        <v>0</v>
      </c>
    </row>
    <row r="15" spans="1:8" hidden="1">
      <c r="A15" s="14" t="str">
        <f>Неделя!A15</f>
        <v>газпроммежрегионгаз- 2x150, 180 </v>
      </c>
      <c r="B15" s="14">
        <f>Неделя!B15</f>
        <v>4.6199999999999992</v>
      </c>
      <c r="C15" s="14">
        <f>Неделя!C15</f>
        <v>1</v>
      </c>
      <c r="D15" s="14">
        <f>Неделя!D15</f>
        <v>0</v>
      </c>
      <c r="E15" s="14">
        <f>Неделя!E15</f>
        <v>0</v>
      </c>
      <c r="F15" s="14">
        <f>Неделя!F15</f>
        <v>0</v>
      </c>
      <c r="G15" s="14">
        <f>Неделя!G15</f>
        <v>0</v>
      </c>
      <c r="H15" s="15">
        <f>Неделя!J15</f>
        <v>0</v>
      </c>
    </row>
    <row r="16" spans="1:8" hidden="1">
      <c r="A16" s="14" t="str">
        <f>Неделя!A16</f>
        <v>Кижк 400 рез, 180</v>
      </c>
      <c r="B16" s="14">
        <f>Неделя!B16</f>
        <v>6.07</v>
      </c>
      <c r="C16" s="14">
        <f>Неделя!C16</f>
        <v>1</v>
      </c>
      <c r="D16" s="14">
        <f>Неделя!D16</f>
        <v>0</v>
      </c>
      <c r="E16" s="14">
        <f>Неделя!E16</f>
        <v>0</v>
      </c>
      <c r="F16" s="14">
        <f>Неделя!F16</f>
        <v>1</v>
      </c>
      <c r="G16" s="14">
        <f>Неделя!G16</f>
        <v>0</v>
      </c>
      <c r="H16" s="15">
        <f>Неделя!J16</f>
        <v>0</v>
      </c>
    </row>
    <row r="17" spans="1:8" hidden="1">
      <c r="A17" s="14" t="str">
        <f>Неделя!A17</f>
        <v>кодак Кирова-150 старые </v>
      </c>
      <c r="B17" s="14">
        <f>Неделя!B17</f>
        <v>1.2749999999999999</v>
      </c>
      <c r="C17" s="14">
        <f>Неделя!C17</f>
        <v>0</v>
      </c>
      <c r="D17" s="14">
        <f>Неделя!D17</f>
        <v>1</v>
      </c>
      <c r="E17" s="14">
        <f>Неделя!E17</f>
        <v>0</v>
      </c>
      <c r="F17" s="14">
        <f>Неделя!F17</f>
        <v>0</v>
      </c>
      <c r="G17" s="14">
        <f>Неделя!G17</f>
        <v>0</v>
      </c>
      <c r="H17" s="15">
        <f>Неделя!J17</f>
        <v>0</v>
      </c>
    </row>
    <row r="18" spans="1:8" hidden="1">
      <c r="A18" s="14" t="str">
        <f>Неделя!A18</f>
        <v>мегаблин гоголя-180 </v>
      </c>
      <c r="B18" s="14">
        <f>Неделя!B18</f>
        <v>2.0699999999999998</v>
      </c>
      <c r="C18" s="14">
        <f>Неделя!C18</f>
        <v>1</v>
      </c>
      <c r="D18" s="14">
        <f>Неделя!D18</f>
        <v>0</v>
      </c>
      <c r="E18" s="14">
        <f>Неделя!E18</f>
        <v>0</v>
      </c>
      <c r="F18" s="14">
        <f>Неделя!F18</f>
        <v>0</v>
      </c>
      <c r="G18" s="14">
        <f>Неделя!G18</f>
        <v>0</v>
      </c>
      <c r="H18" s="15">
        <f>Неделя!J18</f>
        <v>0</v>
      </c>
    </row>
    <row r="19" spans="1:8" hidden="1">
      <c r="A19" s="14" t="str">
        <f>Неделя!A19</f>
        <v>Монетка гоголя 103 -180</v>
      </c>
      <c r="B19" s="14">
        <f>Неделя!B19</f>
        <v>2.0699999999999998</v>
      </c>
      <c r="C19" s="14">
        <f>Неделя!C19</f>
        <v>1</v>
      </c>
      <c r="D19" s="14">
        <f>Неделя!D19</f>
        <v>0</v>
      </c>
      <c r="E19" s="14">
        <f>Неделя!E19</f>
        <v>0</v>
      </c>
      <c r="F19" s="14">
        <f>Неделя!F19</f>
        <v>0</v>
      </c>
      <c r="G19" s="14">
        <f>Неделя!G19</f>
        <v>0</v>
      </c>
      <c r="H19" s="15">
        <f>Неделя!J19</f>
        <v>0</v>
      </c>
    </row>
    <row r="20" spans="1:8" hidden="1">
      <c r="A20" s="14" t="str">
        <f>Неделя!A20</f>
        <v>Монетка кирова 180</v>
      </c>
      <c r="B20" s="14">
        <f>Неделя!B20</f>
        <v>2.0699999999999998</v>
      </c>
      <c r="C20" s="14">
        <f>Неделя!C20</f>
        <v>1</v>
      </c>
      <c r="D20" s="14">
        <f>Неделя!D20</f>
        <v>0</v>
      </c>
      <c r="E20" s="14">
        <f>Неделя!E20</f>
        <v>0</v>
      </c>
      <c r="F20" s="14">
        <f>Неделя!F20</f>
        <v>0</v>
      </c>
      <c r="G20" s="14">
        <f>Неделя!G20</f>
        <v>0</v>
      </c>
      <c r="H20" s="15">
        <f>Неделя!J20</f>
        <v>0</v>
      </c>
    </row>
    <row r="21" spans="1:8" hidden="1">
      <c r="A21" s="14" t="str">
        <f>Неделя!A21</f>
        <v>Монетка красина 180</v>
      </c>
      <c r="B21" s="14">
        <f>Неделя!B21</f>
        <v>2.0699999999999998</v>
      </c>
      <c r="C21" s="14">
        <f>Неделя!C21</f>
        <v>1</v>
      </c>
      <c r="D21" s="14">
        <f>Неделя!D21</f>
        <v>0</v>
      </c>
      <c r="E21" s="14">
        <f>Неделя!E21</f>
        <v>0</v>
      </c>
      <c r="F21" s="14">
        <f>Неделя!F21</f>
        <v>0</v>
      </c>
      <c r="G21" s="14">
        <f>Неделя!G21</f>
        <v>0</v>
      </c>
      <c r="H21" s="15">
        <f>Неделя!J21</f>
        <v>0</v>
      </c>
    </row>
    <row r="22" spans="1:8" hidden="1">
      <c r="A22" s="14" t="str">
        <f>Неделя!A22</f>
        <v>Монетка пушкина 49-180</v>
      </c>
      <c r="B22" s="14">
        <f>Неделя!B22</f>
        <v>2.0699999999999998</v>
      </c>
      <c r="C22" s="14">
        <f>Неделя!C22</f>
        <v>1</v>
      </c>
      <c r="D22" s="14">
        <f>Неделя!D22</f>
        <v>0</v>
      </c>
      <c r="E22" s="14">
        <f>Неделя!E22</f>
        <v>0</v>
      </c>
      <c r="F22" s="14">
        <f>Неделя!F22</f>
        <v>0</v>
      </c>
      <c r="G22" s="14">
        <f>Неделя!G22</f>
        <v>0</v>
      </c>
      <c r="H22" s="15">
        <f>Неделя!J22</f>
        <v>0</v>
      </c>
    </row>
    <row r="23" spans="1:8" hidden="1">
      <c r="A23" s="14" t="str">
        <f>Неделя!A23</f>
        <v>Монтка Ленина М Горько 180</v>
      </c>
      <c r="B23" s="14">
        <f>Неделя!B23</f>
        <v>2.0699999999999998</v>
      </c>
      <c r="C23" s="14">
        <f>Неделя!C23</f>
        <v>1</v>
      </c>
      <c r="D23" s="14">
        <f>Неделя!D23</f>
        <v>0</v>
      </c>
      <c r="E23" s="14">
        <f>Неделя!E23</f>
        <v>0</v>
      </c>
      <c r="F23" s="14">
        <f>Неделя!F23</f>
        <v>0</v>
      </c>
      <c r="G23" s="14">
        <f>Неделя!G23</f>
        <v>0</v>
      </c>
      <c r="H23" s="15">
        <f>Неделя!J23</f>
        <v>0</v>
      </c>
    </row>
    <row r="24" spans="1:8" hidden="1">
      <c r="A24" s="14" t="str">
        <f>Неделя!A24</f>
        <v>Мясной к. маркса 150 рез</v>
      </c>
      <c r="B24" s="14">
        <f>Неделя!B24</f>
        <v>1.2749999999999999</v>
      </c>
      <c r="C24" s="14">
        <f>Неделя!C24</f>
        <v>0</v>
      </c>
      <c r="D24" s="14">
        <f>Неделя!D24</f>
        <v>1</v>
      </c>
      <c r="E24" s="14">
        <f>Неделя!E24</f>
        <v>0</v>
      </c>
      <c r="F24" s="14">
        <f>Неделя!F24</f>
        <v>0</v>
      </c>
      <c r="G24" s="14">
        <f>Неделя!G24</f>
        <v>0</v>
      </c>
      <c r="H24" s="15">
        <f>Неделя!J24</f>
        <v>0</v>
      </c>
    </row>
    <row r="25" spans="1:8" hidden="1">
      <c r="A25" s="14" t="str">
        <f>Неделя!A25</f>
        <v>Мясной советская 39 180 </v>
      </c>
      <c r="B25" s="14">
        <f>Неделя!B25</f>
        <v>2.0699999999999998</v>
      </c>
      <c r="C25" s="14">
        <f>Неделя!C25</f>
        <v>1</v>
      </c>
      <c r="D25" s="14">
        <f>Неделя!D25</f>
        <v>0</v>
      </c>
      <c r="E25" s="14">
        <f>Неделя!E25</f>
        <v>0</v>
      </c>
      <c r="F25" s="14">
        <f>Неделя!F25</f>
        <v>0</v>
      </c>
      <c r="G25" s="14">
        <f>Неделя!G25</f>
        <v>0</v>
      </c>
      <c r="H25" s="15">
        <f>Неделя!J25</f>
        <v>0</v>
      </c>
    </row>
    <row r="26" spans="1:8" hidden="1">
      <c r="A26" s="14" t="str">
        <f>Неделя!A26</f>
        <v>Пальмира гоголя 150</v>
      </c>
      <c r="B26" s="14">
        <f>Неделя!B26</f>
        <v>1.2749999999999999</v>
      </c>
      <c r="C26" s="14">
        <f>Неделя!C26</f>
        <v>0</v>
      </c>
      <c r="D26" s="14">
        <f>Неделя!D26</f>
        <v>1</v>
      </c>
      <c r="E26" s="14">
        <f>Неделя!E26</f>
        <v>0</v>
      </c>
      <c r="F26" s="14">
        <f>Неделя!F26</f>
        <v>0</v>
      </c>
      <c r="G26" s="14">
        <f>Неделя!G26</f>
        <v>0</v>
      </c>
      <c r="H26" s="15">
        <f>Неделя!J26</f>
        <v>0</v>
      </c>
    </row>
    <row r="27" spans="1:8" hidden="1">
      <c r="A27" s="14" t="str">
        <f>Неделя!A27</f>
        <v>пальмира юбилейный-180 НОВЫЙ</v>
      </c>
      <c r="B27" s="14">
        <f>Неделя!B27</f>
        <v>2.0699999999999998</v>
      </c>
      <c r="C27" s="14">
        <f>Неделя!C27</f>
        <v>1</v>
      </c>
      <c r="D27" s="14">
        <f>Неделя!D27</f>
        <v>0</v>
      </c>
      <c r="E27" s="14">
        <f>Неделя!E27</f>
        <v>0</v>
      </c>
      <c r="F27" s="14">
        <f>Неделя!F27</f>
        <v>0</v>
      </c>
      <c r="G27" s="14">
        <f>Неделя!G27</f>
        <v>0</v>
      </c>
      <c r="H27" s="15">
        <f>Неделя!J27</f>
        <v>0</v>
      </c>
    </row>
    <row r="28" spans="1:8" hidden="1">
      <c r="A28" s="14" t="str">
        <f>Неделя!A28</f>
        <v>прогресс Пролетарская-180, 60x80</v>
      </c>
      <c r="B28" s="14">
        <f>Неделя!B28</f>
        <v>3.3449999999999998</v>
      </c>
      <c r="C28" s="14">
        <f>Неделя!C28</f>
        <v>1</v>
      </c>
      <c r="D28" s="14">
        <f>Неделя!D28</f>
        <v>0</v>
      </c>
      <c r="E28" s="14">
        <f>Неделя!E28</f>
        <v>1</v>
      </c>
      <c r="F28" s="14">
        <f>Неделя!F28</f>
        <v>0</v>
      </c>
      <c r="G28" s="14">
        <f>Неделя!G28</f>
        <v>0</v>
      </c>
      <c r="H28" s="15">
        <f>Неделя!J28</f>
        <v>0</v>
      </c>
    </row>
    <row r="29" spans="1:8" hidden="1">
      <c r="A29" s="14" t="str">
        <f>Неделя!A29</f>
        <v>прогресс советская 180, 150 новые</v>
      </c>
      <c r="B29" s="14">
        <f>Неделя!B29</f>
        <v>3.3449999999999998</v>
      </c>
      <c r="C29" s="14">
        <f>Неделя!C29</f>
        <v>1</v>
      </c>
      <c r="D29" s="14">
        <f>Неделя!D29</f>
        <v>1</v>
      </c>
      <c r="E29" s="14">
        <f>Неделя!E29</f>
        <v>0</v>
      </c>
      <c r="F29" s="14">
        <f>Неделя!F29</f>
        <v>0</v>
      </c>
      <c r="G29" s="14">
        <f>Неделя!G29</f>
        <v>0</v>
      </c>
      <c r="H29" s="15">
        <f>Неделя!J29</f>
        <v>0</v>
      </c>
    </row>
    <row r="30" spans="1:8">
      <c r="A30" s="14" t="str">
        <f>Неделя!A30</f>
        <v>сбербанк гоголя 98-1 вх 3Х150 коричневые </v>
      </c>
      <c r="B30" s="14">
        <f>Неделя!B30</f>
        <v>3.8249999999999997</v>
      </c>
      <c r="C30" s="14">
        <f>Неделя!C30</f>
        <v>0</v>
      </c>
      <c r="D30" s="14">
        <f>Неделя!D30</f>
        <v>0</v>
      </c>
      <c r="E30" s="14">
        <f>Неделя!E30</f>
        <v>0</v>
      </c>
      <c r="F30" s="14">
        <f>Неделя!F30</f>
        <v>0</v>
      </c>
      <c r="G30" s="14">
        <f>Неделя!G30</f>
        <v>0</v>
      </c>
      <c r="H30" s="15">
        <f>Неделя!J30</f>
        <v>1</v>
      </c>
    </row>
    <row r="31" spans="1:8">
      <c r="A31" s="14" t="str">
        <f>Неделя!A31</f>
        <v xml:space="preserve">сбербанк гоголя 98-2ой вход 2х180 </v>
      </c>
      <c r="B31" s="14">
        <f>Неделя!B31</f>
        <v>4.1399999999999997</v>
      </c>
      <c r="C31" s="14">
        <f>Неделя!C31</f>
        <v>0</v>
      </c>
      <c r="D31" s="14">
        <f>Неделя!D31</f>
        <v>0</v>
      </c>
      <c r="E31" s="14">
        <f>Неделя!E31</f>
        <v>0</v>
      </c>
      <c r="F31" s="14">
        <f>Неделя!F31</f>
        <v>0</v>
      </c>
      <c r="G31" s="14">
        <f>Неделя!G31</f>
        <v>0</v>
      </c>
      <c r="H31" s="15">
        <f>Неделя!J31</f>
        <v>1</v>
      </c>
    </row>
    <row r="32" spans="1:8" hidden="1">
      <c r="A32" s="14" t="str">
        <f>Неделя!A32</f>
        <v>теремок Куйбышева -150 старый</v>
      </c>
      <c r="B32" s="14">
        <f>Неделя!B32</f>
        <v>1.2749999999999999</v>
      </c>
      <c r="C32" s="14">
        <f>Неделя!C32</f>
        <v>0</v>
      </c>
      <c r="D32" s="14">
        <f>Неделя!D32</f>
        <v>1</v>
      </c>
      <c r="E32" s="14">
        <f>Неделя!E32</f>
        <v>0</v>
      </c>
      <c r="F32" s="14">
        <f>Неделя!F32</f>
        <v>0</v>
      </c>
      <c r="G32" s="14">
        <f>Неделя!G32</f>
        <v>0</v>
      </c>
      <c r="H32" s="15">
        <f>Неделя!J32</f>
        <v>0</v>
      </c>
    </row>
    <row r="33" spans="1:8" hidden="1">
      <c r="A33" s="14" t="str">
        <f>Неделя!A33</f>
        <v>Тп 2х180</v>
      </c>
      <c r="B33" s="14">
        <f>Неделя!B33</f>
        <v>4.1399999999999997</v>
      </c>
      <c r="C33" s="14">
        <f>Неделя!C33</f>
        <v>2</v>
      </c>
      <c r="D33" s="14">
        <f>Неделя!D33</f>
        <v>0</v>
      </c>
      <c r="E33" s="14">
        <f>Неделя!E33</f>
        <v>0</v>
      </c>
      <c r="F33" s="14">
        <f>Неделя!F33</f>
        <v>0</v>
      </c>
      <c r="G33" s="14">
        <f>Неделя!G33</f>
        <v>0</v>
      </c>
      <c r="H33" s="15">
        <f>Неделя!J33</f>
        <v>0</v>
      </c>
    </row>
    <row r="34" spans="1:8" hidden="1">
      <c r="A34" s="14" t="str">
        <f>Неделя!A34</f>
        <v>Хлеб да мясо 150 резаный хороший </v>
      </c>
      <c r="B34" s="14">
        <f>Неделя!B34</f>
        <v>1.2749999999999999</v>
      </c>
      <c r="C34" s="14">
        <f>Неделя!C34</f>
        <v>0</v>
      </c>
      <c r="D34" s="14">
        <f>Неделя!D34</f>
        <v>1</v>
      </c>
      <c r="E34" s="14">
        <f>Неделя!E34</f>
        <v>0</v>
      </c>
      <c r="F34" s="14">
        <f>Неделя!F34</f>
        <v>0</v>
      </c>
      <c r="G34" s="14">
        <f>Неделя!G34</f>
        <v>0</v>
      </c>
      <c r="H34" s="15">
        <f>Неделя!J34</f>
        <v>0</v>
      </c>
    </row>
    <row r="35" spans="1:8" hidden="1">
      <c r="A35" s="14" t="str">
        <f>Неделя!A35</f>
        <v>Яхонт ленина 150</v>
      </c>
      <c r="B35" s="14">
        <f>Неделя!B35</f>
        <v>1.2749999999999999</v>
      </c>
      <c r="C35" s="14">
        <f>Неделя!C35</f>
        <v>0</v>
      </c>
      <c r="D35" s="14">
        <f>Неделя!D35</f>
        <v>1</v>
      </c>
      <c r="E35" s="14">
        <f>Неделя!E35</f>
        <v>0</v>
      </c>
      <c r="F35" s="14">
        <f>Неделя!F35</f>
        <v>0</v>
      </c>
      <c r="G35" s="14">
        <f>Неделя!G35</f>
        <v>0</v>
      </c>
      <c r="H35" s="15">
        <f>Неделя!J35</f>
        <v>0</v>
      </c>
    </row>
    <row r="36" spans="1:8">
      <c r="A36" s="14" t="str">
        <f>Неделя!A36</f>
        <v>Авангард банк красина 180 сер. 1 шт</v>
      </c>
      <c r="B36" s="14">
        <f>Неделя!B36</f>
        <v>2.0699999999999998</v>
      </c>
      <c r="C36" s="14">
        <f>Неделя!C36</f>
        <v>1</v>
      </c>
      <c r="D36" s="14">
        <f>Неделя!D36</f>
        <v>0</v>
      </c>
      <c r="E36" s="14">
        <f>Неделя!E36</f>
        <v>0</v>
      </c>
      <c r="F36" s="14">
        <f>Неделя!F36</f>
        <v>0</v>
      </c>
      <c r="G36" s="14">
        <f>Неделя!G36</f>
        <v>0</v>
      </c>
      <c r="H36" s="15">
        <f>Неделя!J36</f>
        <v>1</v>
      </c>
    </row>
    <row r="37" spans="1:8" hidden="1">
      <c r="A37" s="14" t="str">
        <f>Неделя!A37</f>
        <v>Альфа банк гоголя 180</v>
      </c>
      <c r="B37" s="14">
        <f>Неделя!B37</f>
        <v>2.0699999999999998</v>
      </c>
      <c r="C37" s="14">
        <f>Неделя!C37</f>
        <v>1</v>
      </c>
      <c r="D37" s="14">
        <f>Неделя!D37</f>
        <v>0</v>
      </c>
      <c r="E37" s="14">
        <f>Неделя!E37</f>
        <v>0</v>
      </c>
      <c r="F37" s="14">
        <f>Неделя!F37</f>
        <v>0</v>
      </c>
      <c r="G37" s="14">
        <f>Неделя!G37</f>
        <v>0</v>
      </c>
      <c r="H37" s="15">
        <f>Неделя!J37</f>
        <v>0</v>
      </c>
    </row>
    <row r="38" spans="1:8">
      <c r="A38" s="14" t="str">
        <f>Неделя!A38</f>
        <v>Альфа банк Гоголя-красина 150 сер.нов.1 шт.</v>
      </c>
      <c r="B38" s="14">
        <f>Неделя!B38</f>
        <v>1.2749999999999999</v>
      </c>
      <c r="C38" s="14">
        <f>Неделя!C38</f>
        <v>0</v>
      </c>
      <c r="D38" s="14">
        <f>Неделя!D38</f>
        <v>1</v>
      </c>
      <c r="E38" s="14">
        <f>Неделя!E38</f>
        <v>0</v>
      </c>
      <c r="F38" s="14">
        <f>Неделя!F38</f>
        <v>0</v>
      </c>
      <c r="G38" s="14">
        <f>Неделя!G38</f>
        <v>0</v>
      </c>
      <c r="H38" s="15">
        <f>Неделя!J38</f>
        <v>1</v>
      </c>
    </row>
    <row r="39" spans="1:8" hidden="1">
      <c r="A39" s="14" t="str">
        <f>Неделя!A39</f>
        <v>Альфа мед гоголя-2х180</v>
      </c>
      <c r="B39" s="14">
        <f>Неделя!B39</f>
        <v>4.1399999999999997</v>
      </c>
      <c r="C39" s="14">
        <f>Неделя!C39</f>
        <v>2</v>
      </c>
      <c r="D39" s="14">
        <f>Неделя!D39</f>
        <v>0</v>
      </c>
      <c r="E39" s="14">
        <f>Неделя!E39</f>
        <v>0</v>
      </c>
      <c r="F39" s="14">
        <f>Неделя!F39</f>
        <v>0</v>
      </c>
      <c r="G39" s="14">
        <f>Неделя!G39</f>
        <v>0</v>
      </c>
      <c r="H39" s="15">
        <f>Неделя!J39</f>
        <v>0</v>
      </c>
    </row>
    <row r="40" spans="1:8">
      <c r="A40" s="14" t="str">
        <f>Неделя!A40</f>
        <v>Альфа мед к.маркса -2х180,(ц.зд. Женщины, кометология)</v>
      </c>
      <c r="B40" s="14">
        <f>Неделя!B40</f>
        <v>4.1399999999999997</v>
      </c>
      <c r="C40" s="14">
        <f>Неделя!C40</f>
        <v>2</v>
      </c>
      <c r="D40" s="14">
        <f>Неделя!D40</f>
        <v>0</v>
      </c>
      <c r="E40" s="14">
        <f>Неделя!E40</f>
        <v>0</v>
      </c>
      <c r="F40" s="14">
        <f>Неделя!F40</f>
        <v>0</v>
      </c>
      <c r="G40" s="14">
        <f>Неделя!G40</f>
        <v>0</v>
      </c>
      <c r="H40" s="15">
        <f>Неделя!J40</f>
        <v>1</v>
      </c>
    </row>
    <row r="41" spans="1:8" ht="18.2" customHeight="1">
      <c r="A41" s="14" t="str">
        <f>Неделя!A41</f>
        <v>Аннушка куйбышева 180</v>
      </c>
      <c r="B41" s="14">
        <f>Неделя!B41</f>
        <v>2.0699999999999998</v>
      </c>
      <c r="C41" s="14">
        <f>Неделя!C41</f>
        <v>1</v>
      </c>
      <c r="D41" s="14">
        <f>Неделя!D41</f>
        <v>0</v>
      </c>
      <c r="E41" s="14">
        <f>Неделя!E41</f>
        <v>0</v>
      </c>
      <c r="F41" s="14">
        <f>Неделя!F41</f>
        <v>0</v>
      </c>
      <c r="G41" s="14">
        <f>Неделя!G41</f>
        <v>0</v>
      </c>
      <c r="H41" s="15">
        <f>Неделя!J41</f>
        <v>1</v>
      </c>
    </row>
    <row r="42" spans="1:8" hidden="1">
      <c r="A42" s="14" t="str">
        <f>Неделя!A42</f>
        <v>Аптека гоголя 37-150 </v>
      </c>
      <c r="B42" s="14">
        <f>Неделя!B42</f>
        <v>1.2749999999999999</v>
      </c>
      <c r="C42" s="14">
        <f>Неделя!C42</f>
        <v>0</v>
      </c>
      <c r="D42" s="14">
        <f>Неделя!D42</f>
        <v>1</v>
      </c>
      <c r="E42" s="14">
        <f>Неделя!E42</f>
        <v>0</v>
      </c>
      <c r="F42" s="14">
        <f>Неделя!F42</f>
        <v>0</v>
      </c>
      <c r="G42" s="14">
        <f>Неделя!G42</f>
        <v>0</v>
      </c>
      <c r="H42" s="15">
        <f>Неделя!J42</f>
        <v>0</v>
      </c>
    </row>
    <row r="43" spans="1:8">
      <c r="A43" s="14" t="str">
        <f>Неделя!A43</f>
        <v>Аптека гоголя 9-150</v>
      </c>
      <c r="B43" s="14">
        <f>Неделя!B43</f>
        <v>1.2749999999999999</v>
      </c>
      <c r="C43" s="14">
        <f>Неделя!C43</f>
        <v>0</v>
      </c>
      <c r="D43" s="14">
        <f>Неделя!D43</f>
        <v>1</v>
      </c>
      <c r="E43" s="14">
        <f>Неделя!E43</f>
        <v>0</v>
      </c>
      <c r="F43" s="14">
        <f>Неделя!F43</f>
        <v>0</v>
      </c>
      <c r="G43" s="14">
        <f>Неделя!G43</f>
        <v>0</v>
      </c>
      <c r="H43" s="15">
        <f>Неделя!J43</f>
        <v>1</v>
      </c>
    </row>
    <row r="44" spans="1:8" hidden="1">
      <c r="A44" s="14" t="str">
        <f>Неделя!A44</f>
        <v>Аптека ленина 5-150</v>
      </c>
      <c r="B44" s="14">
        <f>Неделя!B44</f>
        <v>1.2749999999999999</v>
      </c>
      <c r="C44" s="14">
        <f>Неделя!C44</f>
        <v>0</v>
      </c>
      <c r="D44" s="14">
        <f>Неделя!D44</f>
        <v>1</v>
      </c>
      <c r="E44" s="14">
        <f>Неделя!E44</f>
        <v>0</v>
      </c>
      <c r="F44" s="14">
        <f>Неделя!F44</f>
        <v>0</v>
      </c>
      <c r="G44" s="14">
        <f>Неделя!G44</f>
        <v>0</v>
      </c>
      <c r="H44" s="15">
        <f>Неделя!J44</f>
        <v>0</v>
      </c>
    </row>
    <row r="45" spans="1:8" hidden="1">
      <c r="A45" s="14" t="str">
        <f>Неделя!A45</f>
        <v>Аптека пушкина 91-2х150</v>
      </c>
      <c r="B45" s="14">
        <f>Неделя!B45</f>
        <v>2.5499999999999998</v>
      </c>
      <c r="C45" s="14">
        <f>Неделя!C45</f>
        <v>0</v>
      </c>
      <c r="D45" s="14">
        <f>Неделя!D45</f>
        <v>2</v>
      </c>
      <c r="E45" s="14">
        <f>Неделя!E45</f>
        <v>0</v>
      </c>
      <c r="F45" s="14">
        <f>Неделя!F45</f>
        <v>0</v>
      </c>
      <c r="G45" s="14">
        <f>Неделя!G45</f>
        <v>0</v>
      </c>
      <c r="H45" s="15">
        <f>Неделя!J45</f>
        <v>0</v>
      </c>
    </row>
    <row r="46" spans="1:8">
      <c r="A46" s="14" t="str">
        <f>Неделя!A46</f>
        <v>Атлант кирова 250 </v>
      </c>
      <c r="B46" s="14">
        <f>Неделя!B46</f>
        <v>3.7</v>
      </c>
      <c r="C46" s="14">
        <f>Неделя!C46</f>
        <v>0</v>
      </c>
      <c r="D46" s="14">
        <f>Неделя!D46</f>
        <v>0</v>
      </c>
      <c r="E46" s="14">
        <f>Неделя!E46</f>
        <v>1</v>
      </c>
      <c r="F46" s="14">
        <f>Неделя!F46</f>
        <v>0</v>
      </c>
      <c r="G46" s="14">
        <f>Неделя!G46</f>
        <v>0</v>
      </c>
      <c r="H46" s="15">
        <f>Неделя!J46</f>
        <v>1</v>
      </c>
    </row>
    <row r="47" spans="1:8" hidden="1">
      <c r="A47" s="14" t="str">
        <f>Неделя!A47</f>
        <v>Банк России 180   2шт</v>
      </c>
      <c r="B47" s="14">
        <f>Неделя!B47</f>
        <v>4.1399999999999997</v>
      </c>
      <c r="C47" s="14">
        <f>Неделя!C47</f>
        <v>2</v>
      </c>
      <c r="D47" s="14">
        <f>Неделя!D47</f>
        <v>2</v>
      </c>
      <c r="E47" s="14">
        <f>Неделя!E47</f>
        <v>0</v>
      </c>
      <c r="F47" s="14">
        <f>Неделя!F47</f>
        <v>0</v>
      </c>
      <c r="G47" s="14">
        <f>Неделя!G47</f>
        <v>0</v>
      </c>
      <c r="H47" s="15">
        <f>Неделя!J47</f>
        <v>0</v>
      </c>
    </row>
    <row r="48" spans="1:8" hidden="1">
      <c r="A48" s="14" t="str">
        <f>Неделя!A48</f>
        <v>Баон 150</v>
      </c>
      <c r="B48" s="14">
        <f>Неделя!B48</f>
        <v>1.2749999999999999</v>
      </c>
      <c r="C48" s="14">
        <f>Неделя!C48</f>
        <v>0</v>
      </c>
      <c r="D48" s="14">
        <f>Неделя!D48</f>
        <v>1</v>
      </c>
      <c r="E48" s="14">
        <f>Неделя!E48</f>
        <v>0</v>
      </c>
      <c r="F48" s="14">
        <f>Неделя!F48</f>
        <v>0</v>
      </c>
      <c r="G48" s="14">
        <f>Неделя!G48</f>
        <v>0</v>
      </c>
      <c r="H48" s="15">
        <f>Неделя!J48</f>
        <v>0</v>
      </c>
    </row>
    <row r="49" spans="1:8">
      <c r="A49" s="14" t="str">
        <f>Неделя!A49</f>
        <v>Буше горького 150</v>
      </c>
      <c r="B49" s="14">
        <f>Неделя!B49</f>
        <v>1.2749999999999999</v>
      </c>
      <c r="C49" s="14">
        <f>Неделя!C49</f>
        <v>0</v>
      </c>
      <c r="D49" s="14">
        <f>Неделя!D49</f>
        <v>1</v>
      </c>
      <c r="E49" s="14">
        <f>Неделя!E49</f>
        <v>0</v>
      </c>
      <c r="F49" s="14">
        <f>Неделя!F49</f>
        <v>0</v>
      </c>
      <c r="G49" s="14">
        <f>Неделя!G49</f>
        <v>0</v>
      </c>
      <c r="H49" s="15">
        <f>Неделя!J49</f>
        <v>1</v>
      </c>
    </row>
    <row r="50" spans="1:8">
      <c r="A50" s="14" t="str">
        <f>Неделя!A50</f>
        <v>Буше красина  150 нов</v>
      </c>
      <c r="B50" s="14">
        <f>Неделя!B50</f>
        <v>1.2749999999999999</v>
      </c>
      <c r="C50" s="14">
        <f>Неделя!C50</f>
        <v>0</v>
      </c>
      <c r="D50" s="14">
        <f>Неделя!D50</f>
        <v>1</v>
      </c>
      <c r="E50" s="14">
        <f>Неделя!E50</f>
        <v>0</v>
      </c>
      <c r="F50" s="14">
        <f>Неделя!F50</f>
        <v>0</v>
      </c>
      <c r="G50" s="14">
        <f>Неделя!G50</f>
        <v>0</v>
      </c>
      <c r="H50" s="15">
        <f>Неделя!J50</f>
        <v>1</v>
      </c>
    </row>
    <row r="51" spans="1:8" hidden="1">
      <c r="A51" s="14" t="str">
        <f>Неделя!A51</f>
        <v>Втб гоголя-250</v>
      </c>
      <c r="B51" s="14">
        <f>Неделя!B51</f>
        <v>3.7</v>
      </c>
      <c r="C51" s="14">
        <f>Неделя!C51</f>
        <v>0</v>
      </c>
      <c r="D51" s="14">
        <f>Неделя!D51</f>
        <v>0</v>
      </c>
      <c r="E51" s="14">
        <f>Неделя!E51</f>
        <v>0</v>
      </c>
      <c r="F51" s="14">
        <f>Неделя!F51</f>
        <v>0</v>
      </c>
      <c r="G51" s="14">
        <f>Неделя!G51</f>
        <v>1</v>
      </c>
      <c r="H51" s="15">
        <f>Неделя!J51</f>
        <v>0</v>
      </c>
    </row>
    <row r="52" spans="1:8">
      <c r="A52" s="14" t="str">
        <f>Неделя!A52</f>
        <v>Втб куйбышева 180</v>
      </c>
      <c r="B52" s="14">
        <f>Неделя!B52</f>
        <v>2.0699999999999998</v>
      </c>
      <c r="C52" s="14">
        <f>Неделя!C52</f>
        <v>1</v>
      </c>
      <c r="D52" s="14">
        <f>Неделя!D52</f>
        <v>0</v>
      </c>
      <c r="E52" s="14">
        <f>Неделя!E52</f>
        <v>0</v>
      </c>
      <c r="F52" s="14">
        <f>Неделя!F52</f>
        <v>0</v>
      </c>
      <c r="G52" s="14">
        <f>Неделя!G52</f>
        <v>0</v>
      </c>
      <c r="H52" s="15">
        <f>Неделя!J52</f>
        <v>1</v>
      </c>
    </row>
    <row r="53" spans="1:8" hidden="1">
      <c r="A53" s="14" t="str">
        <f>Неделя!A53</f>
        <v>Газпром банк гоголя-180 </v>
      </c>
      <c r="B53" s="14">
        <f>Неделя!B53</f>
        <v>2.0699999999999998</v>
      </c>
      <c r="C53" s="14">
        <f>Неделя!C53</f>
        <v>1</v>
      </c>
      <c r="D53" s="14">
        <f>Неделя!D53</f>
        <v>0</v>
      </c>
      <c r="E53" s="14">
        <f>Неделя!E53</f>
        <v>0</v>
      </c>
      <c r="F53" s="14">
        <f>Неделя!F53</f>
        <v>0</v>
      </c>
      <c r="G53" s="14">
        <f>Неделя!G53</f>
        <v>0</v>
      </c>
      <c r="H53" s="15">
        <f>Неделя!J53</f>
        <v>0</v>
      </c>
    </row>
    <row r="54" spans="1:8">
      <c r="A54" s="14" t="str">
        <f>Неделя!A54</f>
        <v>Друзья друзей 2х150</v>
      </c>
      <c r="B54" s="14">
        <f>Неделя!B54</f>
        <v>2.5499999999999998</v>
      </c>
      <c r="C54" s="14">
        <f>Неделя!C54</f>
        <v>2</v>
      </c>
      <c r="D54" s="14">
        <f>Неделя!D54</f>
        <v>0</v>
      </c>
      <c r="E54" s="14">
        <f>Неделя!E54</f>
        <v>0</v>
      </c>
      <c r="F54" s="14">
        <f>Неделя!F54</f>
        <v>0</v>
      </c>
      <c r="G54" s="14">
        <f>Неделя!G54</f>
        <v>0</v>
      </c>
      <c r="H54" s="15">
        <f>Неделя!J54</f>
        <v>1</v>
      </c>
    </row>
    <row r="55" spans="1:8" hidden="1">
      <c r="A55" s="14" t="str">
        <f>Неделя!A55</f>
        <v>Жизнь март пролетарская -180</v>
      </c>
      <c r="B55" s="14">
        <f>Неделя!B55</f>
        <v>2.0699999999999998</v>
      </c>
      <c r="C55" s="14">
        <f>Неделя!C55</f>
        <v>1</v>
      </c>
      <c r="D55" s="14">
        <f>Неделя!D55</f>
        <v>0</v>
      </c>
      <c r="E55" s="14">
        <f>Неделя!E55</f>
        <v>0</v>
      </c>
      <c r="F55" s="14">
        <f>Неделя!F55</f>
        <v>0</v>
      </c>
      <c r="G55" s="14">
        <f>Неделя!G55</f>
        <v>0</v>
      </c>
      <c r="H55" s="15">
        <f>Неделя!J55</f>
        <v>0</v>
      </c>
    </row>
    <row r="56" spans="1:8" hidden="1">
      <c r="A56" s="14" t="str">
        <f>Неделя!A56</f>
        <v>инвитро красина-3х150 новые</v>
      </c>
      <c r="B56" s="14">
        <f>Неделя!B56</f>
        <v>3.8249999999999997</v>
      </c>
      <c r="C56" s="14">
        <f>Неделя!C56</f>
        <v>0</v>
      </c>
      <c r="D56" s="14">
        <f>Неделя!D56</f>
        <v>3</v>
      </c>
      <c r="E56" s="14">
        <f>Неделя!E56</f>
        <v>0</v>
      </c>
      <c r="F56" s="14">
        <f>Неделя!F56</f>
        <v>0</v>
      </c>
      <c r="G56" s="14">
        <f>Неделя!G56</f>
        <v>0</v>
      </c>
      <c r="H56" s="15">
        <f>Неделя!J56</f>
        <v>0</v>
      </c>
    </row>
    <row r="57" spans="1:8">
      <c r="A57" s="14" t="str">
        <f>Неделя!A57</f>
        <v>Инвитро ленина-2х150 новые стелим на себя</v>
      </c>
      <c r="B57" s="14">
        <f>Неделя!B57</f>
        <v>2.5499999999999998</v>
      </c>
      <c r="C57" s="14">
        <f>Неделя!C57</f>
        <v>0</v>
      </c>
      <c r="D57" s="14">
        <f>Неделя!D57</f>
        <v>2</v>
      </c>
      <c r="E57" s="14">
        <f>Неделя!E57</f>
        <v>0</v>
      </c>
      <c r="F57" s="14">
        <f>Неделя!F57</f>
        <v>0</v>
      </c>
      <c r="G57" s="14">
        <f>Неделя!G57</f>
        <v>0</v>
      </c>
      <c r="H57" s="15">
        <f>Неделя!J57</f>
        <v>1</v>
      </c>
    </row>
    <row r="58" spans="1:8" hidden="1">
      <c r="A58" s="14" t="str">
        <f>Неделя!A58</f>
        <v>Курган Доставка</v>
      </c>
      <c r="B58" s="14">
        <f>Неделя!B58</f>
        <v>1.2749999999999999</v>
      </c>
      <c r="C58" s="14">
        <f>Неделя!C58</f>
        <v>0</v>
      </c>
      <c r="D58" s="14">
        <f>Неделя!D58</f>
        <v>1</v>
      </c>
      <c r="E58" s="14">
        <f>Неделя!E58</f>
        <v>0</v>
      </c>
      <c r="F58" s="14">
        <f>Неделя!F58</f>
        <v>0</v>
      </c>
      <c r="G58" s="14">
        <f>Неделя!G58</f>
        <v>0</v>
      </c>
      <c r="H58" s="15">
        <f>Неделя!J58</f>
        <v>0</v>
      </c>
    </row>
    <row r="59" spans="1:8" hidden="1">
      <c r="A59" s="14" t="str">
        <f>Неделя!A59</f>
        <v>Летуаль 180</v>
      </c>
      <c r="B59" s="14">
        <f>Неделя!B59</f>
        <v>2.0699999999999998</v>
      </c>
      <c r="C59" s="14">
        <f>Неделя!C59</f>
        <v>1</v>
      </c>
      <c r="D59" s="14">
        <f>Неделя!D59</f>
        <v>0</v>
      </c>
      <c r="E59" s="14">
        <f>Неделя!E59</f>
        <v>0</v>
      </c>
      <c r="F59" s="14">
        <f>Неделя!F59</f>
        <v>0</v>
      </c>
      <c r="G59" s="14">
        <f>Неделя!G59</f>
        <v>0</v>
      </c>
      <c r="H59" s="15">
        <f>Неделя!J59</f>
        <v>0</v>
      </c>
    </row>
    <row r="60" spans="1:8">
      <c r="A60" s="14" t="str">
        <f>Неделя!A60</f>
        <v>М.горького 40  180*2</v>
      </c>
      <c r="B60" s="14">
        <f>Неделя!B60</f>
        <v>4.1399999999999997</v>
      </c>
      <c r="C60" s="14">
        <f>Неделя!C60</f>
        <v>2</v>
      </c>
      <c r="D60" s="14">
        <f>Неделя!D60</f>
        <v>0</v>
      </c>
      <c r="E60" s="14">
        <f>Неделя!E60</f>
        <v>0</v>
      </c>
      <c r="F60" s="14">
        <f>Неделя!F60</f>
        <v>0</v>
      </c>
      <c r="G60" s="14">
        <f>Неделя!G60</f>
        <v>0</v>
      </c>
      <c r="H60" s="15">
        <f>Неделя!J60</f>
        <v>1</v>
      </c>
    </row>
    <row r="61" spans="1:8">
      <c r="A61" s="14" t="str">
        <f>Неделя!A61</f>
        <v>Магнит Володарского 180 </v>
      </c>
      <c r="B61" s="14">
        <f>Неделя!B61</f>
        <v>2.0699999999999998</v>
      </c>
      <c r="C61" s="14">
        <f>Неделя!C61</f>
        <v>1</v>
      </c>
      <c r="D61" s="14">
        <f>Неделя!D61</f>
        <v>0</v>
      </c>
      <c r="E61" s="14">
        <f>Неделя!E61</f>
        <v>0</v>
      </c>
      <c r="F61" s="14">
        <f>Неделя!F61</f>
        <v>0</v>
      </c>
      <c r="G61" s="14">
        <f>Неделя!G61</f>
        <v>0</v>
      </c>
      <c r="H61" s="15">
        <f>Неделя!J61</f>
        <v>1</v>
      </c>
    </row>
    <row r="62" spans="1:8" hidden="1">
      <c r="A62" s="14" t="str">
        <f>Неделя!A62</f>
        <v>Магнит гоголя 38-180</v>
      </c>
      <c r="B62" s="14">
        <f>Неделя!B62</f>
        <v>2.0699999999999998</v>
      </c>
      <c r="C62" s="14">
        <f>Неделя!C62</f>
        <v>1</v>
      </c>
      <c r="D62" s="14">
        <f>Неделя!D62</f>
        <v>0</v>
      </c>
      <c r="E62" s="14">
        <f>Неделя!E62</f>
        <v>0</v>
      </c>
      <c r="F62" s="14">
        <f>Неделя!F62</f>
        <v>0</v>
      </c>
      <c r="G62" s="14">
        <f>Неделя!G62</f>
        <v>0</v>
      </c>
      <c r="H62" s="15">
        <f>Неделя!J62</f>
        <v>0</v>
      </c>
    </row>
    <row r="63" spans="1:8" hidden="1">
      <c r="A63" s="14" t="str">
        <f>Неделя!A63</f>
        <v>Магнит гоголя 66-180</v>
      </c>
      <c r="B63" s="14">
        <f>Неделя!B63</f>
        <v>2.0699999999999998</v>
      </c>
      <c r="C63" s="14">
        <f>Неделя!C63</f>
        <v>1</v>
      </c>
      <c r="D63" s="14">
        <f>Неделя!D63</f>
        <v>0</v>
      </c>
      <c r="E63" s="14">
        <f>Неделя!E63</f>
        <v>0</v>
      </c>
      <c r="F63" s="14">
        <f>Неделя!F63</f>
        <v>0</v>
      </c>
      <c r="G63" s="14">
        <f>Неделя!G63</f>
        <v>0</v>
      </c>
      <c r="H63" s="15">
        <f>Неделя!J63</f>
        <v>0</v>
      </c>
    </row>
    <row r="64" spans="1:8" hidden="1">
      <c r="A64" s="14" t="str">
        <f>Неделя!A64</f>
        <v>Магнит Гоголя 76 180</v>
      </c>
      <c r="B64" s="14">
        <f>Неделя!B64</f>
        <v>2.0699999999999998</v>
      </c>
      <c r="C64" s="14">
        <f>Неделя!C64</f>
        <v>1</v>
      </c>
      <c r="D64" s="14">
        <f>Неделя!D64</f>
        <v>0</v>
      </c>
      <c r="E64" s="14">
        <f>Неделя!E64</f>
        <v>0</v>
      </c>
      <c r="F64" s="14">
        <f>Неделя!F64</f>
        <v>0</v>
      </c>
      <c r="G64" s="14">
        <f>Неделя!G64</f>
        <v>0</v>
      </c>
      <c r="H64" s="15">
        <f>Неделя!J64</f>
        <v>0</v>
      </c>
    </row>
    <row r="65" spans="1:8">
      <c r="A65" s="14" t="str">
        <f>Неделя!A65</f>
        <v>Магнит К.маркса 180</v>
      </c>
      <c r="B65" s="14">
        <f>Неделя!B65</f>
        <v>2.0699999999999998</v>
      </c>
      <c r="C65" s="14">
        <f>Неделя!C65</f>
        <v>1</v>
      </c>
      <c r="D65" s="14">
        <f>Неделя!D65</f>
        <v>0</v>
      </c>
      <c r="E65" s="14">
        <f>Неделя!E65</f>
        <v>0</v>
      </c>
      <c r="F65" s="14">
        <f>Неделя!F65</f>
        <v>0</v>
      </c>
      <c r="G65" s="14">
        <f>Неделя!G65</f>
        <v>0</v>
      </c>
      <c r="H65" s="15">
        <f>Неделя!J65</f>
        <v>1</v>
      </c>
    </row>
    <row r="66" spans="1:8">
      <c r="A66" s="14" t="str">
        <f>Неделя!A66</f>
        <v>магнит красина 180</v>
      </c>
      <c r="B66" s="14">
        <f>Неделя!B66</f>
        <v>2.0699999999999998</v>
      </c>
      <c r="C66" s="14">
        <f>Неделя!C66</f>
        <v>1</v>
      </c>
      <c r="D66" s="14">
        <f>Неделя!D66</f>
        <v>0</v>
      </c>
      <c r="E66" s="14">
        <f>Неделя!E66</f>
        <v>0</v>
      </c>
      <c r="F66" s="14">
        <f>Неделя!F66</f>
        <v>0</v>
      </c>
      <c r="G66" s="14">
        <f>Неделя!G66</f>
        <v>0</v>
      </c>
      <c r="H66" s="15">
        <f>Неделя!J66</f>
        <v>1</v>
      </c>
    </row>
    <row r="67" spans="1:8" hidden="1">
      <c r="A67" s="14" t="str">
        <f>Неделя!A67</f>
        <v>Магнит советская 39 180</v>
      </c>
      <c r="B67" s="14">
        <f>Неделя!B67</f>
        <v>2.0699999999999998</v>
      </c>
      <c r="C67" s="14">
        <f>Неделя!C67</f>
        <v>1</v>
      </c>
      <c r="D67" s="14">
        <f>Неделя!D67</f>
        <v>0</v>
      </c>
      <c r="E67" s="14">
        <f>Неделя!E67</f>
        <v>0</v>
      </c>
      <c r="F67" s="14">
        <f>Неделя!F67</f>
        <v>0</v>
      </c>
      <c r="G67" s="14">
        <f>Неделя!G67</f>
        <v>0</v>
      </c>
      <c r="H67" s="15">
        <f>Неделя!J67</f>
        <v>0</v>
      </c>
    </row>
    <row r="68" spans="1:8" hidden="1">
      <c r="A68" s="14" t="str">
        <f>Неделя!A68</f>
        <v>Магнит советская 40 180</v>
      </c>
      <c r="B68" s="14">
        <f>Неделя!B68</f>
        <v>2.0699999999999998</v>
      </c>
      <c r="C68" s="14">
        <f>Неделя!C68</f>
        <v>1</v>
      </c>
      <c r="D68" s="14">
        <f>Неделя!D68</f>
        <v>0</v>
      </c>
      <c r="E68" s="14">
        <f>Неделя!E68</f>
        <v>0</v>
      </c>
      <c r="F68" s="14">
        <f>Неделя!F68</f>
        <v>0</v>
      </c>
      <c r="G68" s="14">
        <f>Неделя!G68</f>
        <v>0</v>
      </c>
      <c r="H68" s="15">
        <f>Неделя!J68</f>
        <v>0</v>
      </c>
    </row>
    <row r="69" spans="1:8">
      <c r="A69" s="14" t="str">
        <f>Неделя!A69</f>
        <v>Мегафон советская 2х150 рез</v>
      </c>
      <c r="B69" s="14">
        <f>Неделя!B69</f>
        <v>2.5499999999999998</v>
      </c>
      <c r="C69" s="14">
        <f>Неделя!C69</f>
        <v>0</v>
      </c>
      <c r="D69" s="14">
        <f>Неделя!D69</f>
        <v>2</v>
      </c>
      <c r="E69" s="14">
        <f>Неделя!E69</f>
        <v>0</v>
      </c>
      <c r="F69" s="14">
        <f>Неделя!F69</f>
        <v>0</v>
      </c>
      <c r="G69" s="14">
        <f>Неделя!G69</f>
        <v>0</v>
      </c>
      <c r="H69" s="15">
        <f>Неделя!J69</f>
        <v>1</v>
      </c>
    </row>
    <row r="70" spans="1:8" hidden="1">
      <c r="A70" s="14">
        <f>Неделя!A70</f>
        <v>0</v>
      </c>
      <c r="B70" s="14">
        <f>Неделя!B70</f>
        <v>0</v>
      </c>
      <c r="C70" s="14">
        <f>Неделя!C70</f>
        <v>0</v>
      </c>
      <c r="D70" s="14">
        <f>Неделя!D70</f>
        <v>0</v>
      </c>
      <c r="E70" s="14">
        <f>Неделя!E70</f>
        <v>0</v>
      </c>
      <c r="F70" s="14">
        <f>Неделя!F70</f>
        <v>0</v>
      </c>
      <c r="G70" s="14">
        <f>Неделя!G70</f>
        <v>0</v>
      </c>
      <c r="H70" s="15">
        <f>Неделя!J70</f>
        <v>0</v>
      </c>
    </row>
    <row r="71" spans="1:8" hidden="1">
      <c r="A71" s="14" t="str">
        <f>Неделя!A71</f>
        <v>мтс гоголя 53 - 180серый 1</v>
      </c>
      <c r="C71" s="14">
        <f>Неделя!C71</f>
        <v>1</v>
      </c>
      <c r="D71" s="14">
        <f>Неделя!D71</f>
        <v>0</v>
      </c>
      <c r="E71" s="14">
        <f>Неделя!E71</f>
        <v>0</v>
      </c>
      <c r="F71" s="14">
        <f>Неделя!F71</f>
        <v>0</v>
      </c>
      <c r="G71" s="14">
        <f>Неделя!G71</f>
        <v>0</v>
      </c>
      <c r="H71" s="15">
        <f>Неделя!J71</f>
        <v>0</v>
      </c>
    </row>
    <row r="72" spans="1:8" hidden="1">
      <c r="A72" s="14" t="str">
        <f>Неделя!A72</f>
        <v>МТС Пушкина 150</v>
      </c>
      <c r="C72" s="14">
        <f>Неделя!C72</f>
        <v>0</v>
      </c>
      <c r="D72" s="14">
        <f>Неделя!D72</f>
        <v>0</v>
      </c>
      <c r="E72" s="14">
        <f>Неделя!E72</f>
        <v>0</v>
      </c>
      <c r="F72" s="14">
        <f>Неделя!F72</f>
        <v>0</v>
      </c>
      <c r="G72" s="14">
        <f>Неделя!G72</f>
        <v>0</v>
      </c>
      <c r="H72" s="15">
        <f>Неделя!J72</f>
        <v>0</v>
      </c>
    </row>
    <row r="73" spans="1:8">
      <c r="A73" s="14" t="str">
        <f>Неделя!A73</f>
        <v>мтс Пушкина 167- 150</v>
      </c>
      <c r="B73" s="14">
        <f>Неделя!B73</f>
        <v>1.2749999999999999</v>
      </c>
      <c r="C73" s="14">
        <f>Неделя!C73</f>
        <v>0</v>
      </c>
      <c r="D73" s="14">
        <f>Неделя!D73</f>
        <v>1</v>
      </c>
      <c r="E73" s="14">
        <f>Неделя!E73</f>
        <v>0</v>
      </c>
      <c r="F73" s="14">
        <f>Неделя!F73</f>
        <v>0</v>
      </c>
      <c r="G73" s="14">
        <f>Неделя!G73</f>
        <v>0</v>
      </c>
      <c r="H73" s="15">
        <f>Неделя!J73</f>
        <v>1</v>
      </c>
    </row>
    <row r="74" spans="1:8">
      <c r="A74" s="14" t="str">
        <f>Неделя!A74</f>
        <v>Промсвязь банк 150,180</v>
      </c>
      <c r="B74" s="14">
        <f>Неделя!B74</f>
        <v>3.3449999999999998</v>
      </c>
      <c r="C74" s="14">
        <f>Неделя!C74</f>
        <v>1</v>
      </c>
      <c r="D74" s="14">
        <f>Неделя!D74</f>
        <v>1</v>
      </c>
      <c r="E74" s="14">
        <f>Неделя!E74</f>
        <v>0</v>
      </c>
      <c r="F74" s="14">
        <f>Неделя!F74</f>
        <v>0</v>
      </c>
      <c r="G74" s="14">
        <f>Неделя!G74</f>
        <v>0</v>
      </c>
      <c r="H74" s="15">
        <f>Неделя!J74</f>
        <v>1</v>
      </c>
    </row>
    <row r="75" spans="1:8">
      <c r="A75" s="14" t="str">
        <f>Неделя!A75</f>
        <v>Ресторан СОЛО Куйбышева</v>
      </c>
      <c r="B75" s="14">
        <f>Неделя!B75</f>
        <v>1.2569999999999999</v>
      </c>
      <c r="C75" s="14">
        <f>Неделя!C75</f>
        <v>0</v>
      </c>
      <c r="D75" s="14">
        <f>Неделя!D75</f>
        <v>1</v>
      </c>
      <c r="E75" s="14">
        <f>Неделя!E75</f>
        <v>0</v>
      </c>
      <c r="F75" s="14">
        <f>Неделя!F75</f>
        <v>0</v>
      </c>
      <c r="G75" s="14">
        <f>Неделя!G75</f>
        <v>0</v>
      </c>
      <c r="H75" s="15">
        <f>Неделя!J75</f>
        <v>1</v>
      </c>
    </row>
    <row r="76" spans="1:8" hidden="1">
      <c r="A76" s="14" t="str">
        <f>Неделя!A76</f>
        <v>Теле2 гоголя-150 резаный</v>
      </c>
      <c r="C76" s="14">
        <f>Неделя!C76</f>
        <v>0</v>
      </c>
      <c r="D76" s="14">
        <f>Неделя!D76</f>
        <v>1</v>
      </c>
      <c r="E76" s="14">
        <f>Неделя!E76</f>
        <v>0</v>
      </c>
      <c r="F76" s="14">
        <f>Неделя!F76</f>
        <v>0</v>
      </c>
      <c r="G76" s="14">
        <f>Неделя!G76</f>
        <v>0</v>
      </c>
      <c r="H76" s="15">
        <f>Неделя!J76</f>
        <v>0</v>
      </c>
    </row>
    <row r="77" spans="1:8">
      <c r="A77" s="14" t="str">
        <f>Неделя!A77</f>
        <v>Томография К. маркса</v>
      </c>
      <c r="B77" s="14">
        <f>Неделя!B77</f>
        <v>1.2749999999999999</v>
      </c>
      <c r="C77" s="14">
        <f>Неделя!C77</f>
        <v>0</v>
      </c>
      <c r="D77" s="14">
        <f>Неделя!D77</f>
        <v>1</v>
      </c>
      <c r="E77" s="14">
        <f>Неделя!E77</f>
        <v>0</v>
      </c>
      <c r="F77" s="14">
        <f>Неделя!F77</f>
        <v>0</v>
      </c>
      <c r="G77" s="14">
        <f>Неделя!G77</f>
        <v>0</v>
      </c>
      <c r="H77" s="15">
        <f>Неделя!J77</f>
        <v>1</v>
      </c>
    </row>
    <row r="78" spans="1:8">
      <c r="A78" s="14" t="str">
        <f>Неделя!A78</f>
        <v>Фикс прайс к.мяготина 180*2</v>
      </c>
      <c r="B78" s="14">
        <f>Неделя!B78</f>
        <v>4.1399999999999997</v>
      </c>
      <c r="C78" s="14">
        <f>Неделя!C78</f>
        <v>2</v>
      </c>
      <c r="D78" s="14">
        <f>Неделя!D78</f>
        <v>0</v>
      </c>
      <c r="E78" s="14">
        <f>Неделя!E78</f>
        <v>0</v>
      </c>
      <c r="F78" s="14">
        <f>Неделя!F78</f>
        <v>0</v>
      </c>
      <c r="G78" s="14">
        <f>Неделя!G78</f>
        <v>0</v>
      </c>
      <c r="H78" s="15">
        <f>Неделя!J78</f>
        <v>1</v>
      </c>
    </row>
    <row r="79" spans="1:8" hidden="1">
      <c r="A79" s="14">
        <f>Неделя!A79</f>
        <v>0</v>
      </c>
      <c r="B79" s="14">
        <f>Неделя!B79</f>
        <v>0</v>
      </c>
      <c r="C79" s="14">
        <f>Неделя!C79</f>
        <v>0</v>
      </c>
      <c r="D79" s="14">
        <f>Неделя!D79</f>
        <v>0</v>
      </c>
      <c r="E79" s="14">
        <f>Неделя!E79</f>
        <v>0</v>
      </c>
      <c r="F79" s="14">
        <f>Неделя!F79</f>
        <v>0</v>
      </c>
      <c r="G79" s="14">
        <f>Неделя!G79</f>
        <v>0</v>
      </c>
      <c r="H79" s="15">
        <f>Неделя!J79</f>
        <v>0</v>
      </c>
    </row>
    <row r="80" spans="1:8" hidden="1">
      <c r="A80" s="14" t="str">
        <f>Неделя!A80</f>
        <v>Фикс советска40-2х180</v>
      </c>
      <c r="C80" s="14">
        <f>Неделя!C80</f>
        <v>2</v>
      </c>
      <c r="D80" s="14">
        <f>Неделя!D80</f>
        <v>0</v>
      </c>
      <c r="E80" s="14">
        <f>Неделя!E80</f>
        <v>0</v>
      </c>
      <c r="F80" s="14">
        <f>Неделя!F80</f>
        <v>0</v>
      </c>
      <c r="G80" s="14">
        <f>Неделя!G80</f>
        <v>0</v>
      </c>
      <c r="H80" s="15">
        <f>Неделя!J80</f>
        <v>0</v>
      </c>
    </row>
    <row r="81" spans="1:8" hidden="1">
      <c r="A81" s="14" t="str">
        <f>Неделя!A81</f>
        <v>Чистый квартал 150, 80х80</v>
      </c>
      <c r="C81" s="14">
        <f>Неделя!C81</f>
        <v>0</v>
      </c>
      <c r="D81" s="14">
        <f>Неделя!D81</f>
        <v>1</v>
      </c>
      <c r="E81" s="14">
        <f>Неделя!E81</f>
        <v>1</v>
      </c>
      <c r="F81" s="14">
        <f>Неделя!F81</f>
        <v>0</v>
      </c>
      <c r="G81" s="14">
        <f>Неделя!G81</f>
        <v>0</v>
      </c>
      <c r="H81" s="15">
        <f>Неделя!J81</f>
        <v>0</v>
      </c>
    </row>
    <row r="82" spans="1:8" hidden="1">
      <c r="A82" s="14" t="str">
        <f>Неделя!A82</f>
        <v>Япоки гоголя-180</v>
      </c>
      <c r="C82" s="14">
        <f>Неделя!C82</f>
        <v>1</v>
      </c>
      <c r="D82" s="14">
        <f>Неделя!D82</f>
        <v>0</v>
      </c>
      <c r="E82" s="14">
        <f>Неделя!E82</f>
        <v>0</v>
      </c>
      <c r="F82" s="14">
        <f>Неделя!F82</f>
        <v>0</v>
      </c>
      <c r="G82" s="14">
        <f>Неделя!G82</f>
        <v>0</v>
      </c>
      <c r="H82" s="15">
        <f>Неделя!J82</f>
        <v>0</v>
      </c>
    </row>
    <row r="83" spans="1:8">
      <c r="A83" s="14" t="str">
        <f>Неделя!A83</f>
        <v>4 сезона ленина-180</v>
      </c>
      <c r="B83" s="14">
        <f>Неделя!B83</f>
        <v>2.0699999999999998</v>
      </c>
      <c r="C83" s="14">
        <f>Неделя!C83</f>
        <v>1</v>
      </c>
      <c r="D83" s="14">
        <f>Неделя!D83</f>
        <v>0</v>
      </c>
      <c r="E83" s="14">
        <f>Неделя!E83</f>
        <v>0</v>
      </c>
      <c r="F83" s="14">
        <f>Неделя!F83</f>
        <v>0</v>
      </c>
      <c r="G83" s="14">
        <f>Неделя!G83</f>
        <v>0</v>
      </c>
      <c r="H83" s="15">
        <f>Неделя!J83</f>
        <v>1</v>
      </c>
    </row>
    <row r="84" spans="1:8" hidden="1">
      <c r="A84" s="14" t="str">
        <f>Неделя!A84</f>
        <v>Александрит 150 рез </v>
      </c>
      <c r="C84" s="14">
        <f>Неделя!C84</f>
        <v>0</v>
      </c>
      <c r="D84" s="14">
        <f>Неделя!D84</f>
        <v>1</v>
      </c>
      <c r="E84" s="14">
        <f>Неделя!E84</f>
        <v>0</v>
      </c>
      <c r="F84" s="14">
        <f>Неделя!F84</f>
        <v>0</v>
      </c>
      <c r="G84" s="14">
        <f>Неделя!G84</f>
        <v>0</v>
      </c>
      <c r="H84" s="15">
        <f>Неделя!J84</f>
        <v>0</v>
      </c>
    </row>
    <row r="85" spans="1:8" hidden="1">
      <c r="A85" s="14" t="str">
        <f>Неделя!A85</f>
        <v>Алеф-банк 150 НОЯБРЬ </v>
      </c>
      <c r="C85" s="14">
        <f>Неделя!C85</f>
        <v>0</v>
      </c>
      <c r="D85" s="14">
        <f>Неделя!D85</f>
        <v>1</v>
      </c>
      <c r="E85" s="14">
        <f>Неделя!E85</f>
        <v>0</v>
      </c>
      <c r="F85" s="14">
        <f>Неделя!F85</f>
        <v>0</v>
      </c>
      <c r="G85" s="14">
        <f>Неделя!G85</f>
        <v>0</v>
      </c>
      <c r="H85" s="15">
        <f>Неделя!J85</f>
        <v>0</v>
      </c>
    </row>
    <row r="86" spans="1:8" hidden="1">
      <c r="A86" s="14" t="str">
        <f>Неделя!A86</f>
        <v>Альфастрахование 2х180</v>
      </c>
      <c r="B86" s="14">
        <f>Неделя!B86</f>
        <v>4.1399999999999997</v>
      </c>
      <c r="C86" s="14">
        <f>Неделя!C86</f>
        <v>2</v>
      </c>
      <c r="D86" s="14">
        <f>Неделя!D86</f>
        <v>0</v>
      </c>
      <c r="E86" s="14">
        <f>Неделя!E86</f>
        <v>0</v>
      </c>
      <c r="F86" s="14">
        <f>Неделя!F86</f>
        <v>0</v>
      </c>
      <c r="G86" s="14">
        <f>Неделя!G86</f>
        <v>0</v>
      </c>
      <c r="H86" s="15">
        <f>Неделя!J86</f>
        <v>0</v>
      </c>
    </row>
    <row r="87" spans="1:8">
      <c r="A87" s="14" t="str">
        <f>Неделя!A87</f>
        <v>Аптека советская ленина 150</v>
      </c>
      <c r="B87" s="14">
        <f>Неделя!B87</f>
        <v>1.2749999999999999</v>
      </c>
      <c r="C87" s="14">
        <f>Неделя!C87</f>
        <v>0</v>
      </c>
      <c r="D87" s="14">
        <f>Неделя!D87</f>
        <v>1</v>
      </c>
      <c r="E87" s="14">
        <f>Неделя!E87</f>
        <v>0</v>
      </c>
      <c r="F87" s="14">
        <f>Неделя!F87</f>
        <v>0</v>
      </c>
      <c r="G87" s="14">
        <f>Неделя!G87</f>
        <v>0</v>
      </c>
      <c r="H87" s="15">
        <f>Неделя!J87</f>
        <v>1</v>
      </c>
    </row>
    <row r="88" spans="1:8">
      <c r="A88" s="14" t="str">
        <f>Неделя!A88</f>
        <v>Баден Ленина-200 старый</v>
      </c>
      <c r="B88" s="14">
        <f>Неделя!B88</f>
        <v>2.0699999999999998</v>
      </c>
      <c r="C88" s="14">
        <f>Неделя!C88</f>
        <v>1</v>
      </c>
      <c r="D88" s="14">
        <f>Неделя!D88</f>
        <v>0</v>
      </c>
      <c r="E88" s="14">
        <f>Неделя!E88</f>
        <v>0</v>
      </c>
      <c r="F88" s="14">
        <f>Неделя!F88</f>
        <v>0</v>
      </c>
      <c r="G88" s="14">
        <f>Неделя!G88</f>
        <v>0</v>
      </c>
      <c r="H88" s="15">
        <f>Неделя!J88</f>
        <v>1</v>
      </c>
    </row>
    <row r="89" spans="1:8" hidden="1">
      <c r="A89" s="14">
        <f>Неделя!A89</f>
        <v>0</v>
      </c>
      <c r="C89" s="14">
        <f>Неделя!C89</f>
        <v>0</v>
      </c>
      <c r="D89" s="14">
        <f>Неделя!D89</f>
        <v>0</v>
      </c>
      <c r="E89" s="14">
        <f>Неделя!E89</f>
        <v>0</v>
      </c>
      <c r="F89" s="14">
        <f>Неделя!F89</f>
        <v>0</v>
      </c>
      <c r="G89" s="14">
        <f>Неделя!G89</f>
        <v>0</v>
      </c>
      <c r="H89" s="15">
        <f>Неделя!J89</f>
        <v>0</v>
      </c>
    </row>
    <row r="90" spans="1:8" hidden="1">
      <c r="A90" s="14" t="str">
        <f>Неделя!A90</f>
        <v>Банк курган Гоголя 180 </v>
      </c>
      <c r="C90" s="14">
        <f>Неделя!C90</f>
        <v>1</v>
      </c>
      <c r="D90" s="14">
        <f>Неделя!D90</f>
        <v>0</v>
      </c>
      <c r="E90" s="14">
        <f>Неделя!E90</f>
        <v>0</v>
      </c>
      <c r="F90" s="14">
        <f>Неделя!F90</f>
        <v>0</v>
      </c>
      <c r="G90" s="14">
        <f>Неделя!G90</f>
        <v>0</v>
      </c>
      <c r="H90" s="15">
        <f>Неделя!J90</f>
        <v>0</v>
      </c>
    </row>
    <row r="91" spans="1:8" hidden="1">
      <c r="A91" s="14" t="str">
        <f>Неделя!A91</f>
        <v>Банк курган площадь 150 сер. 1шт. </v>
      </c>
      <c r="C91" s="14">
        <f>Неделя!C91</f>
        <v>0</v>
      </c>
      <c r="D91" s="14">
        <f>Неделя!D91</f>
        <v>1</v>
      </c>
      <c r="E91" s="14">
        <f>Неделя!E91</f>
        <v>0</v>
      </c>
      <c r="F91" s="14">
        <f>Неделя!F91</f>
        <v>0</v>
      </c>
      <c r="G91" s="14">
        <f>Неделя!G91</f>
        <v>0</v>
      </c>
      <c r="H91" s="15">
        <f>Неделя!J91</f>
        <v>0</v>
      </c>
    </row>
    <row r="92" spans="1:8" hidden="1">
      <c r="A92" s="14" t="str">
        <f>Неделя!A92</f>
        <v>Банк России 150   2шт</v>
      </c>
      <c r="C92" s="14">
        <f>Неделя!C92</f>
        <v>0</v>
      </c>
      <c r="D92" s="14">
        <f>Неделя!D92</f>
        <v>0</v>
      </c>
      <c r="E92" s="14">
        <f>Неделя!E92</f>
        <v>0</v>
      </c>
      <c r="F92" s="14">
        <f>Неделя!F92</f>
        <v>1</v>
      </c>
      <c r="G92" s="14">
        <f>Неделя!G92</f>
        <v>0</v>
      </c>
      <c r="H92" s="15">
        <f>Неделя!J92</f>
        <v>0</v>
      </c>
    </row>
    <row r="93" spans="1:8" hidden="1">
      <c r="A93" s="14" t="str">
        <f>Неделя!A93</f>
        <v>Бенетон 150</v>
      </c>
      <c r="C93" s="14">
        <f>Неделя!C93</f>
        <v>0</v>
      </c>
      <c r="D93" s="14">
        <f>Неделя!D93</f>
        <v>1</v>
      </c>
      <c r="E93" s="14">
        <f>Неделя!E93</f>
        <v>0</v>
      </c>
      <c r="F93" s="14">
        <f>Неделя!F93</f>
        <v>0</v>
      </c>
      <c r="G93" s="14">
        <f>Неделя!G93</f>
        <v>0</v>
      </c>
      <c r="H93" s="15">
        <f>Неделя!J93</f>
        <v>0</v>
      </c>
    </row>
    <row r="94" spans="1:8" hidden="1">
      <c r="A94" s="14" t="str">
        <f>Неделя!A94</f>
        <v>Вояж володарская150 сер. 1 шт.нов.</v>
      </c>
      <c r="C94" s="14">
        <f>Неделя!C94</f>
        <v>0</v>
      </c>
      <c r="D94" s="14">
        <f>Неделя!D94</f>
        <v>1</v>
      </c>
      <c r="E94" s="14">
        <f>Неделя!E94</f>
        <v>0</v>
      </c>
      <c r="F94" s="14">
        <f>Неделя!F94</f>
        <v>0</v>
      </c>
      <c r="G94" s="14">
        <f>Неделя!G94</f>
        <v>0</v>
      </c>
      <c r="H94" s="15">
        <f>Неделя!J94</f>
        <v>0</v>
      </c>
    </row>
    <row r="95" spans="1:8" hidden="1">
      <c r="A95" s="14" t="str">
        <f>Неделя!A95</f>
        <v>Газпроммежрегионгаз Гоголя 98   1x150</v>
      </c>
      <c r="C95" s="14">
        <f>Неделя!C95</f>
        <v>0</v>
      </c>
      <c r="D95" s="14">
        <f>Неделя!D95</f>
        <v>0</v>
      </c>
      <c r="E95" s="14">
        <f>Неделя!E95</f>
        <v>0</v>
      </c>
      <c r="F95" s="14">
        <f>Неделя!F95</f>
        <v>0</v>
      </c>
      <c r="G95" s="14">
        <f>Неделя!G95</f>
        <v>0</v>
      </c>
      <c r="H95" s="15">
        <f>Неделя!J95</f>
        <v>0</v>
      </c>
    </row>
    <row r="96" spans="1:8" hidden="1">
      <c r="A96" s="14" t="str">
        <f>Неделя!A96</f>
        <v>газпроммежрегионгаз- 5х150</v>
      </c>
      <c r="C96" s="14">
        <f>Неделя!C96</f>
        <v>0</v>
      </c>
      <c r="D96" s="14">
        <f>Неделя!D96</f>
        <v>0</v>
      </c>
      <c r="E96" s="14">
        <f>Неделя!E96</f>
        <v>0</v>
      </c>
      <c r="F96" s="14">
        <f>Неделя!F96</f>
        <v>0</v>
      </c>
      <c r="G96" s="14">
        <f>Неделя!G96</f>
        <v>0</v>
      </c>
      <c r="H96" s="15">
        <f>Неделя!J96</f>
        <v>0</v>
      </c>
    </row>
    <row r="97" spans="1:8" hidden="1">
      <c r="A97" s="14" t="str">
        <f>Неделя!A97</f>
        <v>Джинса ленина 150</v>
      </c>
      <c r="C97" s="14">
        <f>Неделя!C97</f>
        <v>0</v>
      </c>
      <c r="D97" s="14">
        <f>Неделя!D97</f>
        <v>1</v>
      </c>
      <c r="E97" s="14">
        <f>Неделя!E97</f>
        <v>0</v>
      </c>
      <c r="F97" s="14">
        <f>Неделя!F97</f>
        <v>0</v>
      </c>
      <c r="G97" s="14">
        <f>Неделя!G97</f>
        <v>0</v>
      </c>
      <c r="H97" s="15">
        <f>Неделя!J97</f>
        <v>0</v>
      </c>
    </row>
    <row r="98" spans="1:8" hidden="1">
      <c r="A98" s="14" t="str">
        <f>Неделя!A98</f>
        <v>Джулия пролетарская  200 хороший</v>
      </c>
      <c r="C98" s="14">
        <f>Неделя!C98</f>
        <v>1</v>
      </c>
      <c r="D98" s="14">
        <f>Неделя!D98</f>
        <v>0</v>
      </c>
      <c r="E98" s="14">
        <f>Неделя!E98</f>
        <v>0</v>
      </c>
      <c r="F98" s="14">
        <f>Неделя!F98</f>
        <v>0</v>
      </c>
      <c r="G98" s="14">
        <f>Неделя!G98</f>
        <v>0</v>
      </c>
      <c r="H98" s="15">
        <f>Неделя!J98</f>
        <v>0</v>
      </c>
    </row>
    <row r="99" spans="1:8" hidden="1">
      <c r="A99" s="14" t="str">
        <f>Неделя!A99</f>
        <v>Джулия советская 180 </v>
      </c>
      <c r="C99" s="14">
        <f>Неделя!C99</f>
        <v>1</v>
      </c>
      <c r="D99" s="14">
        <f>Неделя!D99</f>
        <v>0</v>
      </c>
      <c r="E99" s="14">
        <f>Неделя!E99</f>
        <v>0</v>
      </c>
      <c r="F99" s="14">
        <f>Неделя!F99</f>
        <v>0</v>
      </c>
      <c r="G99" s="14">
        <f>Неделя!G99</f>
        <v>0</v>
      </c>
      <c r="H99" s="15">
        <f>Неделя!J99</f>
        <v>0</v>
      </c>
    </row>
    <row r="100" spans="1:8" hidden="1">
      <c r="A100" s="14" t="str">
        <f>Неделя!A100</f>
        <v>Ив роше Ленина180</v>
      </c>
      <c r="C100" s="14">
        <f>Неделя!C100</f>
        <v>1</v>
      </c>
      <c r="D100" s="14">
        <f>Неделя!D100</f>
        <v>0</v>
      </c>
      <c r="E100" s="14">
        <f>Неделя!E100</f>
        <v>0</v>
      </c>
      <c r="F100" s="14">
        <f>Неделя!F100</f>
        <v>0</v>
      </c>
      <c r="G100" s="14">
        <f>Неделя!G100</f>
        <v>0</v>
      </c>
      <c r="H100" s="15">
        <f>Неделя!J100</f>
        <v>0</v>
      </c>
    </row>
    <row r="101" spans="1:8">
      <c r="A101" s="14" t="str">
        <f>Неделя!A101</f>
        <v>Ик надежда 150</v>
      </c>
      <c r="B101" s="14">
        <f>Неделя!B101</f>
        <v>1.2749999999999999</v>
      </c>
      <c r="C101" s="14">
        <f>Неделя!C101</f>
        <v>0</v>
      </c>
      <c r="D101" s="14">
        <f>Неделя!D101</f>
        <v>1</v>
      </c>
      <c r="E101" s="14">
        <f>Неделя!E101</f>
        <v>0</v>
      </c>
      <c r="F101" s="14">
        <f>Неделя!F101</f>
        <v>0</v>
      </c>
      <c r="G101" s="14">
        <f>Неделя!G101</f>
        <v>0</v>
      </c>
      <c r="H101" s="15">
        <f>Неделя!J101</f>
        <v>1</v>
      </c>
    </row>
    <row r="102" spans="1:8" hidden="1">
      <c r="A102" s="14" t="str">
        <f>Неделя!A102</f>
        <v>Инвитро пушкина 189-2х150</v>
      </c>
      <c r="C102" s="14">
        <f>Неделя!C102</f>
        <v>0</v>
      </c>
      <c r="D102" s="14">
        <f>Неделя!D102</f>
        <v>2</v>
      </c>
      <c r="E102" s="14">
        <f>Неделя!E102</f>
        <v>0</v>
      </c>
      <c r="F102" s="14">
        <f>Неделя!F102</f>
        <v>0</v>
      </c>
      <c r="G102" s="14">
        <f>Неделя!G102</f>
        <v>0</v>
      </c>
      <c r="H102" s="15">
        <f>Неделя!J102</f>
        <v>0</v>
      </c>
    </row>
    <row r="103" spans="1:8" hidden="1">
      <c r="A103" s="14" t="str">
        <f>Неделя!A103</f>
        <v>Инвитро юбилейный 180</v>
      </c>
      <c r="C103" s="14">
        <f>Неделя!C103</f>
        <v>1</v>
      </c>
      <c r="D103" s="14">
        <f>Неделя!D103</f>
        <v>0</v>
      </c>
      <c r="E103" s="14">
        <f>Неделя!E103</f>
        <v>0</v>
      </c>
      <c r="F103" s="14">
        <f>Неделя!F103</f>
        <v>0</v>
      </c>
      <c r="G103" s="14">
        <f>Неделя!G103</f>
        <v>0</v>
      </c>
      <c r="H103" s="15">
        <f>Неделя!J103</f>
        <v>0</v>
      </c>
    </row>
    <row r="104" spans="1:8">
      <c r="A104" s="14" t="str">
        <f>Неделя!A104</f>
        <v>Ингострах 2х150</v>
      </c>
      <c r="B104" s="14">
        <f>Неделя!B104</f>
        <v>2.5499999999999998</v>
      </c>
      <c r="C104" s="14">
        <f>Неделя!C104</f>
        <v>0</v>
      </c>
      <c r="D104" s="14">
        <f>Неделя!D104</f>
        <v>2</v>
      </c>
      <c r="E104" s="14">
        <f>Неделя!E104</f>
        <v>0</v>
      </c>
      <c r="F104" s="14">
        <f>Неделя!F104</f>
        <v>0</v>
      </c>
      <c r="G104" s="14">
        <f>Неделя!G104</f>
        <v>0</v>
      </c>
      <c r="H104" s="15">
        <f>Неделя!J104</f>
        <v>1</v>
      </c>
    </row>
    <row r="105" spans="1:8">
      <c r="A105" s="14" t="str">
        <f>Неделя!A105</f>
        <v>Календарь подарков ленина-180</v>
      </c>
      <c r="B105" s="14">
        <f>Неделя!B105</f>
        <v>2.0699999999999998</v>
      </c>
      <c r="C105" s="14">
        <f>Неделя!C105</f>
        <v>1</v>
      </c>
      <c r="D105" s="14">
        <f>Неделя!D105</f>
        <v>0</v>
      </c>
      <c r="E105" s="14">
        <f>Неделя!E105</f>
        <v>0</v>
      </c>
      <c r="F105" s="14">
        <f>Неделя!F105</f>
        <v>0</v>
      </c>
      <c r="G105" s="14">
        <f>Неделя!G105</f>
        <v>0</v>
      </c>
      <c r="H105" s="15">
        <f>Неделя!J105</f>
        <v>1</v>
      </c>
    </row>
    <row r="106" spans="1:8" hidden="1">
      <c r="A106" s="14" t="str">
        <f>Неделя!A106</f>
        <v>Каменный цветок омская 101 150 нов</v>
      </c>
      <c r="C106" s="14">
        <f>Неделя!C106</f>
        <v>0</v>
      </c>
      <c r="D106" s="14">
        <f>Неделя!D106</f>
        <v>1</v>
      </c>
      <c r="E106" s="14">
        <f>Неделя!E106</f>
        <v>0</v>
      </c>
      <c r="F106" s="14">
        <f>Неделя!F106</f>
        <v>0</v>
      </c>
      <c r="G106" s="14">
        <f>Неделя!G106</f>
        <v>0</v>
      </c>
      <c r="H106" s="15">
        <f>Неделя!J106</f>
        <v>0</v>
      </c>
    </row>
    <row r="107" spans="1:8">
      <c r="A107" s="14" t="str">
        <f>Неделя!A107</f>
        <v>Карэ гараж К.Маркса 60а    150</v>
      </c>
      <c r="B107" s="14">
        <f>Неделя!B107</f>
        <v>1.2749999999999999</v>
      </c>
      <c r="C107" s="14">
        <f>Неделя!C107</f>
        <v>0</v>
      </c>
      <c r="D107" s="14">
        <f>Неделя!D107</f>
        <v>1</v>
      </c>
      <c r="E107" s="14">
        <f>Неделя!E107</f>
        <v>0</v>
      </c>
      <c r="F107" s="14">
        <f>Неделя!F107</f>
        <v>0</v>
      </c>
      <c r="G107" s="14">
        <f>Неделя!G107</f>
        <v>0</v>
      </c>
      <c r="H107" s="15">
        <f>Неделя!J107</f>
        <v>1</v>
      </c>
    </row>
    <row r="108" spans="1:8" hidden="1">
      <c r="A108" s="14" t="str">
        <f>Неделя!A108</f>
        <v>Карэ гоголя 37 150 нов. кор. </v>
      </c>
      <c r="C108" s="14">
        <f>Неделя!C108</f>
        <v>0</v>
      </c>
      <c r="D108" s="14">
        <f>Неделя!D108</f>
        <v>1</v>
      </c>
      <c r="E108" s="14">
        <f>Неделя!E108</f>
        <v>0</v>
      </c>
      <c r="F108" s="14">
        <f>Неделя!F108</f>
        <v>0</v>
      </c>
      <c r="G108" s="14">
        <f>Неделя!G108</f>
        <v>0</v>
      </c>
      <c r="H108" s="15">
        <f>Неделя!J108</f>
        <v>0</v>
      </c>
    </row>
    <row r="109" spans="1:8">
      <c r="A109" s="14" t="str">
        <f>Неделя!A109</f>
        <v>Карэ к. Маркса 46 3х150 нов кор</v>
      </c>
      <c r="B109" s="14">
        <f>Неделя!B109</f>
        <v>3.8249999999999997</v>
      </c>
      <c r="C109" s="14">
        <f>Неделя!C109</f>
        <v>0</v>
      </c>
      <c r="D109" s="14">
        <f>Неделя!D109</f>
        <v>3</v>
      </c>
      <c r="E109" s="14">
        <f>Неделя!E109</f>
        <v>0</v>
      </c>
      <c r="F109" s="14">
        <f>Неделя!F109</f>
        <v>0</v>
      </c>
      <c r="G109" s="14">
        <f>Неделя!G109</f>
        <v>0</v>
      </c>
      <c r="H109" s="15">
        <f>Неделя!J109</f>
        <v>1</v>
      </c>
    </row>
    <row r="110" spans="1:8" hidden="1">
      <c r="A110" s="14" t="str">
        <f>Неделя!A110</f>
        <v>Карэ ленина 150 коричневый</v>
      </c>
      <c r="C110" s="14">
        <f>Неделя!C110</f>
        <v>0</v>
      </c>
      <c r="D110" s="14">
        <f>Неделя!D110</f>
        <v>1</v>
      </c>
      <c r="E110" s="14">
        <f>Неделя!E110</f>
        <v>0</v>
      </c>
      <c r="F110" s="14">
        <f>Неделя!F110</f>
        <v>0</v>
      </c>
      <c r="G110" s="14">
        <f>Неделя!G110</f>
        <v>0</v>
      </c>
      <c r="H110" s="15">
        <f>Неделя!J110</f>
        <v>0</v>
      </c>
    </row>
    <row r="111" spans="1:8" hidden="1">
      <c r="A111" s="14" t="str">
        <f>Неделя!A111</f>
        <v>Комиссоныч юбилейный-150 рез. </v>
      </c>
      <c r="C111" s="14">
        <f>Неделя!C111</f>
        <v>0</v>
      </c>
      <c r="D111" s="14">
        <f>Неделя!D111</f>
        <v>1</v>
      </c>
      <c r="E111" s="14">
        <f>Неделя!E111</f>
        <v>0</v>
      </c>
      <c r="F111" s="14">
        <f>Неделя!F111</f>
        <v>0</v>
      </c>
      <c r="G111" s="14">
        <f>Неделя!G111</f>
        <v>0</v>
      </c>
      <c r="H111" s="15">
        <f>Неделя!J111</f>
        <v>0</v>
      </c>
    </row>
    <row r="112" spans="1:8">
      <c r="A112" s="14" t="str">
        <f>Неделя!A112</f>
        <v>Консультант + васильева 7 240старый </v>
      </c>
      <c r="B112" s="14">
        <f>Неделя!B112</f>
        <v>2.7</v>
      </c>
      <c r="C112" s="14">
        <f>Неделя!C112</f>
        <v>1</v>
      </c>
      <c r="D112" s="14">
        <f>Неделя!D112</f>
        <v>0</v>
      </c>
      <c r="E112" s="14">
        <f>Неделя!E112</f>
        <v>0</v>
      </c>
      <c r="F112" s="14">
        <f>Неделя!F112</f>
        <v>0</v>
      </c>
      <c r="G112" s="14">
        <f>Неделя!G112</f>
        <v>0</v>
      </c>
      <c r="H112" s="15">
        <f>Неделя!J112</f>
        <v>1</v>
      </c>
    </row>
    <row r="113" spans="1:8" hidden="1">
      <c r="A113" s="14">
        <f>Неделя!A113</f>
        <v>0</v>
      </c>
      <c r="B113" s="14">
        <f>Неделя!B113</f>
        <v>0</v>
      </c>
      <c r="C113" s="14">
        <f>Неделя!C113</f>
        <v>0</v>
      </c>
      <c r="D113" s="14">
        <f>Неделя!D113</f>
        <v>0</v>
      </c>
      <c r="E113" s="14">
        <f>Неделя!E113</f>
        <v>0</v>
      </c>
      <c r="F113" s="14">
        <f>Неделя!F113</f>
        <v>0</v>
      </c>
      <c r="G113" s="14">
        <f>Неделя!G113</f>
        <v>0</v>
      </c>
      <c r="H113" s="15">
        <f>Неделя!J113</f>
        <v>0</v>
      </c>
    </row>
    <row r="114" spans="1:8" hidden="1">
      <c r="A114" s="14">
        <f>Неделя!A114</f>
        <v>0</v>
      </c>
      <c r="B114" s="14">
        <f>Неделя!B114</f>
        <v>0</v>
      </c>
      <c r="C114" s="14">
        <f>Неделя!C114</f>
        <v>0</v>
      </c>
      <c r="D114" s="14">
        <f>Неделя!D114</f>
        <v>0</v>
      </c>
      <c r="E114" s="14">
        <f>Неделя!E114</f>
        <v>0</v>
      </c>
      <c r="F114" s="14">
        <f>Неделя!F114</f>
        <v>0</v>
      </c>
      <c r="G114" s="14">
        <f>Неделя!G114</f>
        <v>0</v>
      </c>
      <c r="H114" s="15">
        <f>Неделя!J114</f>
        <v>0</v>
      </c>
    </row>
    <row r="115" spans="1:8" hidden="1">
      <c r="A115" s="14" t="str">
        <f>Неделя!A115</f>
        <v>Мед центр  космольская 180</v>
      </c>
      <c r="C115" s="14">
        <f>Неделя!C115</f>
        <v>1</v>
      </c>
      <c r="D115" s="14">
        <f>Неделя!D115</f>
        <v>0</v>
      </c>
      <c r="E115" s="14">
        <f>Неделя!E115</f>
        <v>0</v>
      </c>
      <c r="F115" s="14">
        <f>Неделя!F115</f>
        <v>0</v>
      </c>
      <c r="G115" s="14">
        <f>Неделя!G115</f>
        <v>0</v>
      </c>
      <c r="H115" s="15">
        <f>Неделя!J115</f>
        <v>0</v>
      </c>
    </row>
    <row r="116" spans="1:8" hidden="1">
      <c r="A116" s="14" t="str">
        <f>Неделя!A116</f>
        <v>Мисс т 150 сер, нов. 1шт.</v>
      </c>
      <c r="C116" s="14">
        <f>Неделя!C116</f>
        <v>0</v>
      </c>
      <c r="D116" s="14">
        <f>Неделя!D116</f>
        <v>1</v>
      </c>
      <c r="E116" s="14">
        <f>Неделя!E116</f>
        <v>0</v>
      </c>
      <c r="F116" s="14">
        <f>Неделя!F116</f>
        <v>0</v>
      </c>
      <c r="G116" s="14">
        <f>Неделя!G116</f>
        <v>0</v>
      </c>
      <c r="H116" s="15">
        <f>Неделя!J116</f>
        <v>0</v>
      </c>
    </row>
    <row r="117" spans="1:8" hidden="1">
      <c r="A117" s="14" t="str">
        <f>Неделя!A117</f>
        <v>Неил хаус 150 новый</v>
      </c>
      <c r="C117" s="14">
        <f>Неделя!C117</f>
        <v>0</v>
      </c>
      <c r="D117" s="14">
        <f>Неделя!D117</f>
        <v>1</v>
      </c>
      <c r="E117" s="14">
        <f>Неделя!E117</f>
        <v>0</v>
      </c>
      <c r="F117" s="14">
        <f>Неделя!F117</f>
        <v>0</v>
      </c>
      <c r="G117" s="14">
        <f>Неделя!G117</f>
        <v>0</v>
      </c>
      <c r="H117" s="15">
        <f>Неделя!J117</f>
        <v>0</v>
      </c>
    </row>
    <row r="118" spans="1:8">
      <c r="A118" s="14" t="str">
        <f>Неделя!A118</f>
        <v>Обувные ленина-3х150 старые </v>
      </c>
      <c r="B118" s="14">
        <f>Неделя!B118</f>
        <v>3.8249999999999997</v>
      </c>
      <c r="C118" s="14">
        <f>Неделя!C118</f>
        <v>0</v>
      </c>
      <c r="D118" s="14">
        <f>Неделя!D118</f>
        <v>3</v>
      </c>
      <c r="E118" s="14">
        <f>Неделя!E118</f>
        <v>0</v>
      </c>
      <c r="F118" s="14">
        <f>Неделя!F118</f>
        <v>0</v>
      </c>
      <c r="G118" s="14">
        <f>Неделя!G118</f>
        <v>0</v>
      </c>
      <c r="H118" s="15">
        <f>Неделя!J118</f>
        <v>1</v>
      </c>
    </row>
    <row r="119" spans="1:8" hidden="1">
      <c r="A119" s="14">
        <f>Неделя!A119</f>
        <v>0</v>
      </c>
      <c r="C119" s="14">
        <f>Неделя!C119</f>
        <v>0</v>
      </c>
      <c r="D119" s="14">
        <f>Неделя!D119</f>
        <v>0</v>
      </c>
      <c r="E119" s="14">
        <f>Неделя!E119</f>
        <v>0</v>
      </c>
      <c r="F119" s="14">
        <f>Неделя!F119</f>
        <v>0</v>
      </c>
      <c r="G119" s="14">
        <f>Неделя!G119</f>
        <v>0</v>
      </c>
      <c r="H119" s="15">
        <f>Неделя!J119</f>
        <v>0</v>
      </c>
    </row>
    <row r="120" spans="1:8" hidden="1">
      <c r="A120" s="14" t="str">
        <f>Неделя!A120</f>
        <v>Омс 2х180</v>
      </c>
      <c r="C120" s="14">
        <f>Неделя!C120</f>
        <v>2</v>
      </c>
      <c r="D120" s="14">
        <f>Неделя!D120</f>
        <v>0</v>
      </c>
      <c r="E120" s="14">
        <f>Неделя!E120</f>
        <v>0</v>
      </c>
      <c r="F120" s="14">
        <f>Неделя!F120</f>
        <v>0</v>
      </c>
      <c r="G120" s="14">
        <f>Неделя!G120</f>
        <v>0</v>
      </c>
      <c r="H120" s="15">
        <f>Неделя!J120</f>
        <v>0</v>
      </c>
    </row>
    <row r="121" spans="1:8" hidden="1">
      <c r="A121" s="14" t="str">
        <f>Неделя!A121</f>
        <v>Отель сервис, ресторан 180х3</v>
      </c>
      <c r="B121" s="14">
        <f>Неделя!B121</f>
        <v>6.2099999999999991</v>
      </c>
      <c r="C121" s="14">
        <f>Неделя!C121</f>
        <v>3</v>
      </c>
      <c r="D121" s="14">
        <f>Неделя!D121</f>
        <v>0</v>
      </c>
      <c r="E121" s="14">
        <f>Неделя!E121</f>
        <v>0</v>
      </c>
      <c r="F121" s="14">
        <f>Неделя!F121</f>
        <v>0</v>
      </c>
      <c r="G121" s="14">
        <f>Неделя!G121</f>
        <v>0</v>
      </c>
      <c r="H121" s="15">
        <f>Неделя!J121</f>
        <v>0</v>
      </c>
    </row>
    <row r="122" spans="1:8">
      <c r="A122" s="14" t="str">
        <f>Неделя!A122</f>
        <v>Отп ленина-150 резаный </v>
      </c>
      <c r="B122" s="14">
        <f>Неделя!B122</f>
        <v>1.2749999999999999</v>
      </c>
      <c r="C122" s="14">
        <f>Неделя!C122</f>
        <v>0</v>
      </c>
      <c r="D122" s="14">
        <f>Неделя!D122</f>
        <v>1</v>
      </c>
      <c r="E122" s="14">
        <f>Неделя!E122</f>
        <v>0</v>
      </c>
      <c r="F122" s="14">
        <f>Неделя!F122</f>
        <v>0</v>
      </c>
      <c r="G122" s="14">
        <f>Неделя!G122</f>
        <v>0</v>
      </c>
      <c r="H122" s="15">
        <f>Неделя!J122</f>
        <v>1</v>
      </c>
    </row>
    <row r="123" spans="1:8">
      <c r="A123" s="14" t="str">
        <f>Неделя!A123</f>
        <v>Офис центр куйбышева-красина 180,150рез</v>
      </c>
      <c r="B123" s="14">
        <f>Неделя!B123</f>
        <v>3.3449999999999998</v>
      </c>
      <c r="C123" s="14">
        <f>Неделя!C123</f>
        <v>1</v>
      </c>
      <c r="D123" s="14">
        <f>Неделя!D123</f>
        <v>1</v>
      </c>
      <c r="E123" s="14">
        <f>Неделя!E123</f>
        <v>0</v>
      </c>
      <c r="F123" s="14">
        <f>Неделя!F123</f>
        <v>0</v>
      </c>
      <c r="G123" s="14">
        <f>Неделя!G123</f>
        <v>0</v>
      </c>
      <c r="H123" s="15">
        <f>Неделя!J123</f>
        <v>1</v>
      </c>
    </row>
    <row r="124" spans="1:8" hidden="1">
      <c r="A124" s="14" t="str">
        <f>Неделя!A124</f>
        <v>Палаццо Гоголя150 рез</v>
      </c>
      <c r="C124" s="14">
        <f>Неделя!C124</f>
        <v>0</v>
      </c>
      <c r="D124" s="14">
        <f>Неделя!D124</f>
        <v>1</v>
      </c>
      <c r="E124" s="14">
        <f>Неделя!E124</f>
        <v>0</v>
      </c>
      <c r="F124" s="14">
        <f>Неделя!F124</f>
        <v>0</v>
      </c>
      <c r="G124" s="14">
        <f>Неделя!G124</f>
        <v>0</v>
      </c>
      <c r="H124" s="15">
        <f>Неделя!J124</f>
        <v>0</v>
      </c>
    </row>
    <row r="125" spans="1:8">
      <c r="A125" s="14" t="str">
        <f>Неделя!A125</f>
        <v>Парикмахерская тут бут 2х150 нов</v>
      </c>
      <c r="B125" s="14">
        <f>Неделя!B125</f>
        <v>2.5499999999999998</v>
      </c>
      <c r="C125" s="14">
        <f>Неделя!C125</f>
        <v>0</v>
      </c>
      <c r="D125" s="14">
        <f>Неделя!D125</f>
        <v>2</v>
      </c>
      <c r="E125" s="14">
        <f>Неделя!E125</f>
        <v>0</v>
      </c>
      <c r="F125" s="14">
        <f>Неделя!F125</f>
        <v>0</v>
      </c>
      <c r="G125" s="14">
        <f>Неделя!G125</f>
        <v>0</v>
      </c>
      <c r="H125" s="15">
        <f>Неделя!J125</f>
        <v>1</v>
      </c>
    </row>
    <row r="126" spans="1:8">
      <c r="A126" s="14" t="str">
        <f>Неделя!A126</f>
        <v>Планета обуви ленина- 2х200 старые</v>
      </c>
      <c r="B126" s="14">
        <f>Неделя!B126</f>
        <v>4.1399999999999997</v>
      </c>
      <c r="C126" s="14">
        <f>Неделя!C126</f>
        <v>2</v>
      </c>
      <c r="D126" s="14">
        <f>Неделя!D126</f>
        <v>0</v>
      </c>
      <c r="E126" s="14">
        <f>Неделя!E126</f>
        <v>0</v>
      </c>
      <c r="F126" s="14">
        <f>Неделя!F126</f>
        <v>0</v>
      </c>
      <c r="G126" s="14">
        <f>Неделя!G126</f>
        <v>0</v>
      </c>
      <c r="H126" s="15">
        <f>Неделя!J126</f>
        <v>1</v>
      </c>
    </row>
    <row r="127" spans="1:8" hidden="1">
      <c r="A127" s="14" t="str">
        <f>Неделя!A127</f>
        <v>Платинум володарская150 сер. 1 шт.</v>
      </c>
      <c r="C127" s="14">
        <f>Неделя!C127</f>
        <v>0</v>
      </c>
      <c r="D127" s="14">
        <f>Неделя!D127</f>
        <v>1</v>
      </c>
      <c r="E127" s="14">
        <f>Неделя!E127</f>
        <v>0</v>
      </c>
      <c r="F127" s="14">
        <f>Неделя!F127</f>
        <v>0</v>
      </c>
      <c r="G127" s="14">
        <f>Неделя!G127</f>
        <v>0</v>
      </c>
      <c r="H127" s="15">
        <f>Неделя!J127</f>
        <v>0</v>
      </c>
    </row>
    <row r="128" spans="1:8">
      <c r="A128" s="14" t="str">
        <f>Неделя!A128</f>
        <v>Платон к.Мяготина 180</v>
      </c>
      <c r="B128" s="14">
        <f>Неделя!B128</f>
        <v>2.0699999999999998</v>
      </c>
      <c r="C128" s="14">
        <f>Неделя!C128</f>
        <v>1</v>
      </c>
      <c r="D128" s="14">
        <f>Неделя!D128</f>
        <v>0</v>
      </c>
      <c r="E128" s="14">
        <f>Неделя!E128</f>
        <v>0</v>
      </c>
      <c r="F128" s="14">
        <f>Неделя!F128</f>
        <v>0</v>
      </c>
      <c r="G128" s="14">
        <f>Неделя!G128</f>
        <v>0</v>
      </c>
      <c r="H128" s="15">
        <f>Неделя!J128</f>
        <v>1</v>
      </c>
    </row>
    <row r="129" spans="1:8" hidden="1">
      <c r="A129" s="14" t="str">
        <f>Неделя!A129</f>
        <v>Подиум ленина 180</v>
      </c>
      <c r="C129" s="14">
        <f>Неделя!C129</f>
        <v>1</v>
      </c>
      <c r="D129" s="14">
        <f>Неделя!D129</f>
        <v>0</v>
      </c>
      <c r="E129" s="14">
        <f>Неделя!E129</f>
        <v>0</v>
      </c>
      <c r="F129" s="14">
        <f>Неделя!F129</f>
        <v>0</v>
      </c>
      <c r="G129" s="14">
        <f>Неделя!G129</f>
        <v>0</v>
      </c>
      <c r="H129" s="15">
        <f>Неделя!J129</f>
        <v>0</v>
      </c>
    </row>
    <row r="130" spans="1:8">
      <c r="A130" s="14" t="str">
        <f>Неделя!A130</f>
        <v>Прайм фитнес клуб 2х150 новые </v>
      </c>
      <c r="B130" s="14">
        <f>Неделя!B130</f>
        <v>2.5499999999999998</v>
      </c>
      <c r="C130" s="14">
        <f>Неделя!C130</f>
        <v>0</v>
      </c>
      <c r="D130" s="14">
        <f>Неделя!D130</f>
        <v>2</v>
      </c>
      <c r="E130" s="14">
        <f>Неделя!E130</f>
        <v>0</v>
      </c>
      <c r="F130" s="14">
        <f>Неделя!F130</f>
        <v>0</v>
      </c>
      <c r="G130" s="14">
        <f>Неделя!G130</f>
        <v>0</v>
      </c>
      <c r="H130" s="15">
        <f>Неделя!J130</f>
        <v>1</v>
      </c>
    </row>
    <row r="131" spans="1:8" hidden="1">
      <c r="A131" s="14" t="str">
        <f>Неделя!A131</f>
        <v xml:space="preserve">Пышка </v>
      </c>
      <c r="C131" s="14">
        <f>Неделя!C131</f>
        <v>0</v>
      </c>
      <c r="D131" s="14">
        <f>Неделя!D131</f>
        <v>1</v>
      </c>
      <c r="E131" s="14">
        <f>Неделя!E131</f>
        <v>0</v>
      </c>
      <c r="F131" s="14">
        <f>Неделя!F131</f>
        <v>0</v>
      </c>
      <c r="G131" s="14">
        <f>Неделя!G131</f>
        <v>0</v>
      </c>
      <c r="H131" s="15">
        <f>Неделя!J131</f>
        <v>0</v>
      </c>
    </row>
    <row r="132" spans="1:8" hidden="1">
      <c r="A132" s="14" t="str">
        <f>Неделя!A132</f>
        <v>Разговоры ЦПКОИ 180</v>
      </c>
      <c r="C132" s="14">
        <f>Неделя!C132</f>
        <v>1</v>
      </c>
      <c r="D132" s="14">
        <f>Неделя!D132</f>
        <v>0</v>
      </c>
      <c r="E132" s="14">
        <f>Неделя!E132</f>
        <v>0</v>
      </c>
      <c r="F132" s="14">
        <f>Неделя!F132</f>
        <v>0</v>
      </c>
      <c r="G132" s="14">
        <f>Неделя!G132</f>
        <v>0</v>
      </c>
      <c r="H132" s="15">
        <f>Неделя!J132</f>
        <v>0</v>
      </c>
    </row>
    <row r="133" spans="1:8">
      <c r="A133" s="14" t="str">
        <f>Неделя!A133</f>
        <v>Рикер ленина-200 старый </v>
      </c>
      <c r="B133" s="14">
        <f>Неделя!B133</f>
        <v>2.0699999999999998</v>
      </c>
      <c r="C133" s="14">
        <f>Неделя!C133</f>
        <v>1</v>
      </c>
      <c r="D133" s="14">
        <f>Неделя!D133</f>
        <v>0</v>
      </c>
      <c r="E133" s="14">
        <f>Неделя!E133</f>
        <v>0</v>
      </c>
      <c r="F133" s="14">
        <f>Неделя!F133</f>
        <v>0</v>
      </c>
      <c r="G133" s="14">
        <f>Неделя!G133</f>
        <v>0</v>
      </c>
      <c r="H133" s="15">
        <f>Неделя!J133</f>
        <v>1</v>
      </c>
    </row>
    <row r="134" spans="1:8">
      <c r="A134" s="14" t="str">
        <f>Неделя!A134</f>
        <v>Саквояж ленина-180</v>
      </c>
      <c r="B134" s="14">
        <f>Неделя!B134</f>
        <v>2.0699999999999998</v>
      </c>
      <c r="C134" s="14">
        <f>Неделя!C134</f>
        <v>1</v>
      </c>
      <c r="D134" s="14">
        <f>Неделя!D134</f>
        <v>0</v>
      </c>
      <c r="E134" s="14">
        <f>Неделя!E134</f>
        <v>0</v>
      </c>
      <c r="F134" s="14">
        <f>Неделя!F134</f>
        <v>0</v>
      </c>
      <c r="G134" s="14">
        <f>Неделя!G134</f>
        <v>0</v>
      </c>
      <c r="H134" s="15">
        <f>Неделя!J134</f>
        <v>1</v>
      </c>
    </row>
    <row r="135" spans="1:8" hidden="1">
      <c r="A135" s="14">
        <f>Неделя!A135</f>
        <v>0</v>
      </c>
      <c r="C135" s="14">
        <f>Неделя!C135</f>
        <v>0</v>
      </c>
      <c r="D135" s="14">
        <f>Неделя!D135</f>
        <v>0</v>
      </c>
      <c r="E135" s="14">
        <f>Неделя!E135</f>
        <v>0</v>
      </c>
      <c r="F135" s="14">
        <f>Неделя!F135</f>
        <v>0</v>
      </c>
      <c r="G135" s="14">
        <f>Неделя!G135</f>
        <v>0</v>
      </c>
      <c r="H135" s="15">
        <f>Неделя!J135</f>
        <v>0</v>
      </c>
    </row>
    <row r="136" spans="1:8">
      <c r="A136" s="14" t="str">
        <f>Неделя!A136</f>
        <v>Сибирский газовик володарского 65, 150 сер. 3 шт</v>
      </c>
      <c r="B136" s="14">
        <f>Неделя!B136</f>
        <v>3.8249999999999997</v>
      </c>
      <c r="C136" s="14">
        <f>Неделя!C136</f>
        <v>0</v>
      </c>
      <c r="D136" s="14">
        <f>Неделя!D136</f>
        <v>3</v>
      </c>
      <c r="E136" s="14">
        <f>Неделя!E136</f>
        <v>0</v>
      </c>
      <c r="F136" s="14">
        <f>Неделя!F136</f>
        <v>0</v>
      </c>
      <c r="G136" s="14">
        <f>Неделя!G136</f>
        <v>0</v>
      </c>
      <c r="H136" s="15">
        <f>Неделя!J136</f>
        <v>1</v>
      </c>
    </row>
    <row r="137" spans="1:8" hidden="1">
      <c r="A137" s="14" t="str">
        <f>Неделя!A137</f>
        <v>Скорпион 150 </v>
      </c>
      <c r="C137" s="14">
        <f>Неделя!C137</f>
        <v>0</v>
      </c>
      <c r="D137" s="14">
        <f>Неделя!D137</f>
        <v>1</v>
      </c>
      <c r="E137" s="14">
        <f>Неделя!E137</f>
        <v>0</v>
      </c>
      <c r="F137" s="14">
        <f>Неделя!F137</f>
        <v>0</v>
      </c>
      <c r="G137" s="14">
        <f>Неделя!G137</f>
        <v>0</v>
      </c>
      <c r="H137" s="15">
        <f>Неделя!J137</f>
        <v>0</v>
      </c>
    </row>
    <row r="138" spans="1:8" hidden="1">
      <c r="A138" s="14">
        <f>Неделя!A138</f>
        <v>0</v>
      </c>
      <c r="C138" s="14">
        <f>Неделя!C138</f>
        <v>0</v>
      </c>
      <c r="D138" s="14">
        <f>Неделя!D138</f>
        <v>0</v>
      </c>
      <c r="E138" s="14">
        <f>Неделя!E138</f>
        <v>0</v>
      </c>
      <c r="F138" s="14">
        <f>Неделя!F138</f>
        <v>0</v>
      </c>
      <c r="G138" s="14">
        <f>Неделя!G138</f>
        <v>0</v>
      </c>
      <c r="H138" s="15">
        <f>Неделя!J138</f>
        <v>0</v>
      </c>
    </row>
    <row r="139" spans="1:8" hidden="1">
      <c r="A139" s="14" t="str">
        <f>Неделя!A139</f>
        <v>Совкомбанк Ленина 180</v>
      </c>
      <c r="C139" s="14">
        <f>Неделя!C139</f>
        <v>1</v>
      </c>
      <c r="D139" s="14">
        <f>Неделя!D139</f>
        <v>0</v>
      </c>
      <c r="E139" s="14">
        <f>Неделя!E139</f>
        <v>0</v>
      </c>
      <c r="F139" s="14">
        <f>Неделя!F139</f>
        <v>0</v>
      </c>
      <c r="G139" s="14">
        <f>Неделя!G139</f>
        <v>0</v>
      </c>
      <c r="H139" s="15">
        <f>Неделя!J139</f>
        <v>0</v>
      </c>
    </row>
    <row r="140" spans="1:8" hidden="1">
      <c r="A140" s="14" t="str">
        <f>Неделя!A140</f>
        <v>совкомбанк гоголя-180 </v>
      </c>
      <c r="C140" s="14">
        <f>Неделя!C140</f>
        <v>1</v>
      </c>
      <c r="D140" s="14">
        <f>Неделя!D140</f>
        <v>0</v>
      </c>
      <c r="E140" s="14">
        <f>Неделя!E140</f>
        <v>0</v>
      </c>
      <c r="F140" s="14">
        <f>Неделя!F140</f>
        <v>0</v>
      </c>
      <c r="G140" s="14">
        <f>Неделя!G140</f>
        <v>0</v>
      </c>
      <c r="H140" s="15">
        <f>Неделя!J140</f>
        <v>0</v>
      </c>
    </row>
    <row r="141" spans="1:8" hidden="1">
      <c r="A141" s="14" t="str">
        <f>Неделя!A141</f>
        <v>Стиляги площадь серый новый 150+150</v>
      </c>
      <c r="C141" s="14">
        <f>Неделя!C141</f>
        <v>0</v>
      </c>
      <c r="D141" s="14">
        <f>Неделя!D141</f>
        <v>2</v>
      </c>
      <c r="E141" s="14">
        <f>Неделя!E141</f>
        <v>0</v>
      </c>
      <c r="F141" s="14">
        <f>Неделя!F141</f>
        <v>0</v>
      </c>
      <c r="G141" s="14">
        <f>Неделя!G141</f>
        <v>0</v>
      </c>
      <c r="H141" s="15">
        <f>Неделя!J141</f>
        <v>0</v>
      </c>
    </row>
    <row r="142" spans="1:8" hidden="1">
      <c r="A142" s="14" t="str">
        <f>Неделя!A142</f>
        <v>Триумф 180</v>
      </c>
      <c r="B142" s="14">
        <f>Неделя!B142</f>
        <v>2.0699999999999998</v>
      </c>
      <c r="C142" s="14">
        <f>Неделя!C142</f>
        <v>1</v>
      </c>
      <c r="D142" s="14">
        <f>Неделя!D142</f>
        <v>0</v>
      </c>
      <c r="E142" s="14">
        <f>Неделя!E142</f>
        <v>0</v>
      </c>
      <c r="F142" s="14">
        <f>Неделя!F142</f>
        <v>0</v>
      </c>
      <c r="G142" s="14">
        <f>Неделя!G142</f>
        <v>0</v>
      </c>
      <c r="H142" s="15">
        <f>Неделя!J142</f>
        <v>0</v>
      </c>
    </row>
    <row r="143" spans="1:8" hidden="1">
      <c r="A143" s="14">
        <f>Неделя!A143</f>
        <v>0</v>
      </c>
      <c r="B143" s="14">
        <f>Неделя!B143</f>
        <v>0</v>
      </c>
      <c r="C143" s="14">
        <f>Неделя!C143</f>
        <v>0</v>
      </c>
      <c r="D143" s="14">
        <f>Неделя!D143</f>
        <v>0</v>
      </c>
      <c r="E143" s="14">
        <f>Неделя!E143</f>
        <v>0</v>
      </c>
      <c r="F143" s="14">
        <f>Неделя!F143</f>
        <v>0</v>
      </c>
      <c r="G143" s="14">
        <f>Неделя!G143</f>
        <v>0</v>
      </c>
      <c r="H143" s="15">
        <f>Неделя!J143</f>
        <v>0</v>
      </c>
    </row>
    <row r="144" spans="1:8" hidden="1">
      <c r="A144" s="14" t="str">
        <f>Неделя!A144</f>
        <v>Фам-150</v>
      </c>
      <c r="C144" s="14">
        <f>Неделя!C144</f>
        <v>0</v>
      </c>
      <c r="D144" s="14">
        <f>Неделя!D144</f>
        <v>1</v>
      </c>
      <c r="E144" s="14">
        <f>Неделя!E144</f>
        <v>0</v>
      </c>
      <c r="F144" s="14">
        <f>Неделя!F144</f>
        <v>0</v>
      </c>
      <c r="G144" s="14">
        <f>Неделя!G144</f>
        <v>0</v>
      </c>
      <c r="H144" s="15">
        <f>Неделя!J144</f>
        <v>0</v>
      </c>
    </row>
    <row r="145" spans="1:8" hidden="1">
      <c r="A145" s="14" t="str">
        <f>Неделя!A145</f>
        <v>Франческо донни 150 рез. </v>
      </c>
      <c r="C145" s="14">
        <f>Неделя!C145</f>
        <v>0</v>
      </c>
      <c r="D145" s="14">
        <f>Неделя!D145</f>
        <v>1</v>
      </c>
      <c r="E145" s="14">
        <f>Неделя!E145</f>
        <v>0</v>
      </c>
      <c r="F145" s="14">
        <f>Неделя!F145</f>
        <v>0</v>
      </c>
      <c r="G145" s="14">
        <f>Неделя!G145</f>
        <v>0</v>
      </c>
      <c r="H145" s="15">
        <f>Неделя!J145</f>
        <v>0</v>
      </c>
    </row>
    <row r="146" spans="1:8" hidden="1">
      <c r="A146" s="14" t="str">
        <f>Неделя!A146</f>
        <v>чунунок к. Мяготина-1x180</v>
      </c>
      <c r="C146" s="14">
        <f>Неделя!C146</f>
        <v>1</v>
      </c>
      <c r="D146" s="14">
        <f>Неделя!D146</f>
        <v>0</v>
      </c>
      <c r="E146" s="14">
        <f>Неделя!E146</f>
        <v>0</v>
      </c>
      <c r="F146" s="14">
        <f>Неделя!F146</f>
        <v>0</v>
      </c>
      <c r="G146" s="14">
        <f>Неделя!G146</f>
        <v>0</v>
      </c>
      <c r="H146" s="15">
        <f>Неделя!J146</f>
        <v>0</v>
      </c>
    </row>
    <row r="147" spans="1:8" hidden="1">
      <c r="A147" s="14" t="str">
        <f>Неделя!A147</f>
        <v>Швейный мир 2-60х80</v>
      </c>
      <c r="C147" s="14">
        <f>Неделя!C147</f>
        <v>0</v>
      </c>
      <c r="D147" s="14">
        <f>Неделя!D147</f>
        <v>0</v>
      </c>
      <c r="E147" s="14">
        <f>Неделя!E147</f>
        <v>2</v>
      </c>
      <c r="F147" s="14">
        <f>Неделя!F147</f>
        <v>0</v>
      </c>
      <c r="G147" s="14">
        <f>Неделя!G147</f>
        <v>0</v>
      </c>
      <c r="H147" s="15">
        <f>Неделя!J147</f>
        <v>0</v>
      </c>
    </row>
    <row r="148" spans="1:8" hidden="1">
      <c r="A148" s="14">
        <f>Неделя!A148</f>
        <v>0</v>
      </c>
      <c r="C148" s="14">
        <f>Неделя!C148</f>
        <v>0</v>
      </c>
      <c r="D148" s="14">
        <f>Неделя!D148</f>
        <v>0</v>
      </c>
      <c r="E148" s="14">
        <f>Неделя!E148</f>
        <v>0</v>
      </c>
      <c r="F148" s="14">
        <f>Неделя!F148</f>
        <v>0</v>
      </c>
      <c r="G148" s="14">
        <f>Неделя!G148</f>
        <v>0</v>
      </c>
      <c r="H148" s="15">
        <f>Неделя!J148</f>
        <v>0</v>
      </c>
    </row>
    <row r="149" spans="1:8" hidden="1">
      <c r="A149" s="14" t="str">
        <f>Неделя!A149</f>
        <v>Эльшуз 150 </v>
      </c>
      <c r="C149" s="14">
        <f>Неделя!C149</f>
        <v>0</v>
      </c>
      <c r="D149" s="14">
        <f>Неделя!D149</f>
        <v>1</v>
      </c>
      <c r="E149" s="14">
        <f>Неделя!E149</f>
        <v>0</v>
      </c>
      <c r="F149" s="14">
        <f>Неделя!F149</f>
        <v>0</v>
      </c>
      <c r="G149" s="14">
        <f>Неделя!G149</f>
        <v>0</v>
      </c>
      <c r="H149" s="15">
        <f>Неделя!J149</f>
        <v>0</v>
      </c>
    </row>
    <row r="150" spans="1:8" hidden="1">
      <c r="A150" s="14" t="str">
        <f>Неделя!A150</f>
        <v>Япошка Юбилейный 150 резаный</v>
      </c>
      <c r="C150" s="14">
        <f>Неделя!C150</f>
        <v>0</v>
      </c>
      <c r="D150" s="14">
        <f>Неделя!D150</f>
        <v>1</v>
      </c>
      <c r="E150" s="14">
        <f>Неделя!E150</f>
        <v>0</v>
      </c>
      <c r="F150" s="14">
        <f>Неделя!F150</f>
        <v>0</v>
      </c>
      <c r="G150" s="14">
        <f>Неделя!G150</f>
        <v>0</v>
      </c>
      <c r="H150" s="15">
        <f>Неделя!J150</f>
        <v>0</v>
      </c>
    </row>
    <row r="151" spans="1:8" hidden="1">
      <c r="A151" s="14" t="str">
        <f>Неделя!A151</f>
        <v>Plaza томина 150 ноябрь </v>
      </c>
      <c r="C151" s="14">
        <f>Неделя!C151</f>
        <v>0</v>
      </c>
      <c r="D151" s="14">
        <f>Неделя!D151</f>
        <v>1</v>
      </c>
      <c r="E151" s="14">
        <f>Неделя!E151</f>
        <v>0</v>
      </c>
      <c r="F151" s="14">
        <f>Неделя!F151</f>
        <v>0</v>
      </c>
      <c r="G151" s="14">
        <f>Неделя!G151</f>
        <v>0</v>
      </c>
      <c r="H151" s="15">
        <f>Неделя!J151</f>
        <v>0</v>
      </c>
    </row>
    <row r="152" spans="1:8" hidden="1">
      <c r="A152" s="14" t="str">
        <f>Неделя!A152</f>
        <v>SoupRamen 180  </v>
      </c>
      <c r="C152" s="14">
        <f>Неделя!C152</f>
        <v>1</v>
      </c>
      <c r="D152" s="14">
        <f>Неделя!D152</f>
        <v>0</v>
      </c>
      <c r="E152" s="14">
        <f>Неделя!E152</f>
        <v>0</v>
      </c>
      <c r="F152" s="14">
        <f>Неделя!F152</f>
        <v>0</v>
      </c>
      <c r="G152" s="14">
        <f>Неделя!G152</f>
        <v>0</v>
      </c>
      <c r="H152" s="15">
        <f>Неделя!J152</f>
        <v>0</v>
      </c>
    </row>
    <row r="153" spans="1:8">
      <c r="B153" s="14">
        <f>SUBTOTAL(9,B1:B152)</f>
        <v>137.96199999999996</v>
      </c>
      <c r="C153" s="14">
        <f>Неделя!C154</f>
        <v>180</v>
      </c>
      <c r="D153" s="14">
        <f>Неделя!D154</f>
        <v>150</v>
      </c>
      <c r="E153" s="14" t="str">
        <f>Неделя!E154</f>
        <v xml:space="preserve">рез </v>
      </c>
      <c r="F153" s="14">
        <f>Неделя!F154</f>
        <v>400</v>
      </c>
      <c r="G153" s="14">
        <f>Неделя!G154</f>
        <v>250</v>
      </c>
      <c r="H153" s="15" t="str">
        <f>Неделя!J154</f>
        <v>вт</v>
      </c>
    </row>
    <row r="154" spans="1:8" hidden="1">
      <c r="A154" s="14">
        <f>Неделя!A155</f>
        <v>0</v>
      </c>
      <c r="C154" s="14">
        <f>Неделя!C155</f>
        <v>180</v>
      </c>
      <c r="D154" s="14">
        <f>Неделя!D155</f>
        <v>150</v>
      </c>
      <c r="E154" s="14" t="str">
        <f>Неделя!E155</f>
        <v xml:space="preserve">рез </v>
      </c>
      <c r="F154" s="14">
        <f>Неделя!F155</f>
        <v>400</v>
      </c>
      <c r="G154" s="14">
        <f>Неделя!G155</f>
        <v>250</v>
      </c>
      <c r="H154" s="15">
        <f>Неделя!J155</f>
        <v>0</v>
      </c>
    </row>
    <row r="155" spans="1:8" hidden="1">
      <c r="A155" s="14">
        <f>Неделя!A156</f>
        <v>0</v>
      </c>
      <c r="C155" s="14">
        <f>Неделя!C156</f>
        <v>28</v>
      </c>
      <c r="D155" s="14">
        <f>Неделя!D156</f>
        <v>23</v>
      </c>
      <c r="E155" s="14">
        <f>Неделя!E156</f>
        <v>3</v>
      </c>
      <c r="F155" s="14">
        <f>Неделя!F156</f>
        <v>1</v>
      </c>
      <c r="G155" s="14">
        <f>Неделя!G156</f>
        <v>1</v>
      </c>
      <c r="H155" s="15">
        <f>Неделя!J156</f>
        <v>0</v>
      </c>
    </row>
    <row r="156" spans="1:8" hidden="1">
      <c r="A156" s="14">
        <f>Неделя!A157</f>
        <v>0</v>
      </c>
      <c r="C156" s="14">
        <f>Неделя!C157</f>
        <v>0</v>
      </c>
      <c r="D156" s="14">
        <f>Неделя!D157</f>
        <v>0</v>
      </c>
      <c r="E156" s="14">
        <f>Неделя!E157</f>
        <v>0</v>
      </c>
      <c r="F156" s="14">
        <f>Неделя!F157</f>
        <v>0</v>
      </c>
      <c r="G156" s="14">
        <f>Неделя!G157</f>
        <v>0</v>
      </c>
      <c r="H156" s="15">
        <f>Неделя!J157</f>
        <v>0</v>
      </c>
    </row>
    <row r="157" spans="1:8" hidden="1">
      <c r="A157" s="14">
        <f>Неделя!A158</f>
        <v>0</v>
      </c>
      <c r="C157" s="14">
        <f>Неделя!C158</f>
        <v>0</v>
      </c>
      <c r="D157" s="14">
        <f>Неделя!D158</f>
        <v>0</v>
      </c>
      <c r="E157" s="14">
        <f>Неделя!E158</f>
        <v>0</v>
      </c>
      <c r="F157" s="14">
        <f>Неделя!F158</f>
        <v>0</v>
      </c>
      <c r="G157" s="14">
        <f>Неделя!G158</f>
        <v>0</v>
      </c>
      <c r="H157" s="15">
        <f>Неделя!J158</f>
        <v>0</v>
      </c>
    </row>
    <row r="158" spans="1:8" hidden="1">
      <c r="A158" s="14">
        <f>Неделя!A159</f>
        <v>0</v>
      </c>
      <c r="C158" s="14">
        <f>Неделя!C159</f>
        <v>0</v>
      </c>
      <c r="D158" s="14">
        <f>Неделя!D159</f>
        <v>0</v>
      </c>
      <c r="E158" s="14">
        <f>Неделя!E159</f>
        <v>0</v>
      </c>
      <c r="F158" s="14">
        <f>Неделя!F159</f>
        <v>0</v>
      </c>
      <c r="G158" s="14">
        <f>Неделя!G159</f>
        <v>0</v>
      </c>
      <c r="H158" s="15">
        <f>Неделя!J159</f>
        <v>0</v>
      </c>
    </row>
    <row r="159" spans="1:8" hidden="1">
      <c r="A159" s="14">
        <f>Неделя!A160</f>
        <v>0</v>
      </c>
      <c r="C159" s="14">
        <f>Неделя!C160</f>
        <v>0</v>
      </c>
      <c r="D159" s="14">
        <f>Неделя!D160</f>
        <v>0</v>
      </c>
      <c r="E159" s="14">
        <f>Неделя!E160</f>
        <v>0</v>
      </c>
      <c r="F159" s="14">
        <f>Неделя!F160</f>
        <v>0</v>
      </c>
      <c r="G159" s="14">
        <f>Неделя!G160</f>
        <v>0</v>
      </c>
      <c r="H159" s="15">
        <f>Неделя!J160</f>
        <v>0</v>
      </c>
    </row>
    <row r="160" spans="1:8" hidden="1">
      <c r="A160" s="14">
        <f>Неделя!A161</f>
        <v>0</v>
      </c>
      <c r="C160" s="14">
        <f>Неделя!C161</f>
        <v>0</v>
      </c>
      <c r="D160" s="14">
        <f>Неделя!D161</f>
        <v>0</v>
      </c>
      <c r="E160" s="14">
        <f>Неделя!E161</f>
        <v>0</v>
      </c>
      <c r="F160" s="14">
        <f>Неделя!F161</f>
        <v>0</v>
      </c>
      <c r="G160" s="14">
        <f>Неделя!G161</f>
        <v>0</v>
      </c>
      <c r="H160" s="15">
        <f>Неделя!J161</f>
        <v>0</v>
      </c>
    </row>
    <row r="161" spans="1:8" hidden="1">
      <c r="A161" s="14">
        <f>Неделя!A162</f>
        <v>0</v>
      </c>
      <c r="C161" s="14">
        <f>Неделя!C162</f>
        <v>0</v>
      </c>
      <c r="D161" s="14">
        <f>Неделя!D162</f>
        <v>0</v>
      </c>
      <c r="E161" s="14">
        <f>Неделя!E162</f>
        <v>0</v>
      </c>
      <c r="F161" s="14">
        <f>Неделя!F162</f>
        <v>0</v>
      </c>
      <c r="G161" s="14">
        <f>Неделя!G162</f>
        <v>0</v>
      </c>
      <c r="H161" s="15">
        <f>Неделя!J162</f>
        <v>0</v>
      </c>
    </row>
    <row r="65467" ht="18.2" customHeight="1"/>
  </sheetData>
  <sheetProtection selectLockedCells="1" selectUnlockedCells="1"/>
  <autoFilter ref="A1:H161">
    <filterColumn colId="7">
      <filters>
        <filter val="1"/>
        <filter val="вт"/>
      </filters>
    </filterColumn>
  </autoFilter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Roman,Обычный"&amp;12ffffff&amp;A</oddHeader>
    <oddFooter>&amp;C&amp;"Times New Roman,Обычный"&amp;12ffffffСтраница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I65456"/>
  <sheetViews>
    <sheetView topLeftCell="A15" zoomScale="87" zoomScaleNormal="87" workbookViewId="0">
      <selection activeCell="B81" sqref="B81"/>
    </sheetView>
  </sheetViews>
  <sheetFormatPr defaultColWidth="9" defaultRowHeight="15"/>
  <cols>
    <col min="1" max="1" width="9" style="14"/>
    <col min="2" max="2" width="53.7109375" style="14" customWidth="1"/>
    <col min="3" max="3" width="9" style="14"/>
    <col min="4" max="6" width="4" style="14" customWidth="1"/>
    <col min="7" max="7" width="6" style="14" customWidth="1"/>
    <col min="8" max="16384" width="9" style="14"/>
  </cols>
  <sheetData>
    <row r="1" spans="2:9">
      <c r="B1" s="15" t="str">
        <f>Неделя!A1</f>
        <v>Велес гоголя 180</v>
      </c>
      <c r="C1" s="15">
        <f>Неделя!B1</f>
        <v>2.0699999999999998</v>
      </c>
      <c r="D1" s="15">
        <f>Неделя!C1</f>
        <v>1</v>
      </c>
      <c r="E1" s="15">
        <f>Неделя!D1</f>
        <v>0</v>
      </c>
      <c r="F1" s="15">
        <f>Неделя!E1</f>
        <v>0</v>
      </c>
      <c r="G1" s="15">
        <f>Неделя!F1</f>
        <v>0</v>
      </c>
      <c r="H1" s="15">
        <f>Неделя!G1</f>
        <v>0</v>
      </c>
      <c r="I1" s="15">
        <f>Неделя!K1</f>
        <v>1</v>
      </c>
    </row>
    <row r="2" spans="2:9">
      <c r="B2" s="15" t="str">
        <f>Неделя!A2</f>
        <v>Велес красина 180</v>
      </c>
      <c r="C2" s="15">
        <f>Неделя!B2</f>
        <v>2.0699999999999998</v>
      </c>
      <c r="D2" s="15">
        <f>Неделя!C2</f>
        <v>1</v>
      </c>
      <c r="E2" s="15">
        <f>Неделя!D2</f>
        <v>0</v>
      </c>
      <c r="F2" s="15">
        <f>Неделя!E2</f>
        <v>0</v>
      </c>
      <c r="G2" s="15">
        <f>Неделя!F2</f>
        <v>0</v>
      </c>
      <c r="H2" s="15">
        <f>Неделя!G2</f>
        <v>0</v>
      </c>
      <c r="I2" s="15">
        <f>Неделя!K2</f>
        <v>1</v>
      </c>
    </row>
    <row r="3" spans="2:9">
      <c r="B3" s="15" t="str">
        <f>Неделя!A3</f>
        <v>департамент финансов советская 66-150 резаный</v>
      </c>
      <c r="C3" s="15">
        <f>Неделя!B3</f>
        <v>1.2749999999999999</v>
      </c>
      <c r="D3" s="15">
        <f>Неделя!C3</f>
        <v>0</v>
      </c>
      <c r="E3" s="15">
        <f>Неделя!D3</f>
        <v>1</v>
      </c>
      <c r="F3" s="15">
        <f>Неделя!E3</f>
        <v>0</v>
      </c>
      <c r="G3" s="15">
        <f>Неделя!F3</f>
        <v>0</v>
      </c>
      <c r="H3" s="15">
        <f>Неделя!G3</f>
        <v>0</v>
      </c>
      <c r="I3" s="15">
        <f>Неделя!K3</f>
        <v>1</v>
      </c>
    </row>
    <row r="4" spans="2:9">
      <c r="B4" s="15" t="str">
        <f>Неделя!A4</f>
        <v>метрополис к. Маркса -2x180, 2x150</v>
      </c>
      <c r="C4" s="15">
        <f>Неделя!B4</f>
        <v>6.6899999999999995</v>
      </c>
      <c r="D4" s="15">
        <f>Неделя!C4</f>
        <v>2</v>
      </c>
      <c r="E4" s="15">
        <f>Неделя!D4</f>
        <v>2</v>
      </c>
      <c r="F4" s="15">
        <f>Неделя!E4</f>
        <v>0</v>
      </c>
      <c r="G4" s="15">
        <f>Неделя!F4</f>
        <v>0</v>
      </c>
      <c r="H4" s="15">
        <f>Неделя!G4</f>
        <v>0</v>
      </c>
      <c r="I4" s="15">
        <f>Неделя!K4</f>
        <v>1</v>
      </c>
    </row>
    <row r="5" spans="2:9">
      <c r="B5" s="15" t="str">
        <f>Неделя!A5</f>
        <v>метрополис Москва-2х180</v>
      </c>
      <c r="C5" s="15">
        <f>Неделя!B5</f>
        <v>4.1399999999999997</v>
      </c>
      <c r="D5" s="15">
        <f>Неделя!C5</f>
        <v>2</v>
      </c>
      <c r="E5" s="15">
        <f>Неделя!D5</f>
        <v>0</v>
      </c>
      <c r="F5" s="15">
        <f>Неделя!E5</f>
        <v>0</v>
      </c>
      <c r="G5" s="15">
        <f>Неделя!F5</f>
        <v>0</v>
      </c>
      <c r="H5" s="15">
        <f>Неделя!G5</f>
        <v>0</v>
      </c>
      <c r="I5" s="15">
        <f>Неделя!K5</f>
        <v>1</v>
      </c>
    </row>
    <row r="6" spans="2:9">
      <c r="B6" s="15" t="str">
        <f>Неделя!A6</f>
        <v>МТС ленина 6 180</v>
      </c>
      <c r="C6" s="15">
        <f>Неделя!B6</f>
        <v>2.0699999999999998</v>
      </c>
      <c r="D6" s="15">
        <f>Неделя!C6</f>
        <v>1</v>
      </c>
      <c r="E6" s="15">
        <f>Неделя!D6</f>
        <v>0</v>
      </c>
      <c r="F6" s="15">
        <f>Неделя!E6</f>
        <v>0</v>
      </c>
      <c r="G6" s="15">
        <f>Неделя!F6</f>
        <v>0</v>
      </c>
      <c r="H6" s="15">
        <f>Неделя!G6</f>
        <v>0</v>
      </c>
      <c r="I6" s="15">
        <f>Неделя!K6</f>
        <v>1</v>
      </c>
    </row>
    <row r="7" spans="2:9">
      <c r="B7" s="15" t="str">
        <f>Неделя!A7</f>
        <v>пальмира Ленина 5- 200 новый  150 нов</v>
      </c>
      <c r="C7" s="15">
        <f>Неделя!B7</f>
        <v>3.3449999999999998</v>
      </c>
      <c r="D7" s="15">
        <f>Неделя!C7</f>
        <v>1</v>
      </c>
      <c r="E7" s="15">
        <f>Неделя!D7</f>
        <v>1</v>
      </c>
      <c r="F7" s="15">
        <f>Неделя!E7</f>
        <v>0</v>
      </c>
      <c r="G7" s="15">
        <f>Неделя!F7</f>
        <v>0</v>
      </c>
      <c r="H7" s="15">
        <f>Неделя!G7</f>
        <v>0</v>
      </c>
      <c r="I7" s="15">
        <f>Неделя!K7</f>
        <v>1</v>
      </c>
    </row>
    <row r="8" spans="2:9">
      <c r="B8" s="15" t="str">
        <f>Неделя!A8</f>
        <v>чунунок к. Мяготина-2x180</v>
      </c>
      <c r="C8" s="15">
        <f>Неделя!B8</f>
        <v>4.1399999999999997</v>
      </c>
      <c r="D8" s="15">
        <f>Неделя!C8</f>
        <v>2</v>
      </c>
      <c r="E8" s="15">
        <f>Неделя!D8</f>
        <v>0</v>
      </c>
      <c r="F8" s="15">
        <f>Неделя!E8</f>
        <v>0</v>
      </c>
      <c r="G8" s="15">
        <f>Неделя!F8</f>
        <v>0</v>
      </c>
      <c r="H8" s="15">
        <f>Неделя!G8</f>
        <v>0</v>
      </c>
      <c r="I8" s="15">
        <f>Неделя!K8</f>
        <v>1</v>
      </c>
    </row>
    <row r="9" spans="2:9">
      <c r="B9" s="15" t="str">
        <f>Неделя!A9</f>
        <v>Сбер академия 2х150 коричнев стар</v>
      </c>
      <c r="C9" s="15">
        <f>Неделя!B9</f>
        <v>2.5499999999999998</v>
      </c>
      <c r="D9" s="15">
        <f>Неделя!C9</f>
        <v>0</v>
      </c>
      <c r="E9" s="15">
        <f>Неделя!D9</f>
        <v>2</v>
      </c>
      <c r="F9" s="15">
        <f>Неделя!E9</f>
        <v>0</v>
      </c>
      <c r="G9" s="15">
        <f>Неделя!F9</f>
        <v>0</v>
      </c>
      <c r="H9" s="15">
        <f>Неделя!G9</f>
        <v>0</v>
      </c>
      <c r="I9" s="15">
        <f>Неделя!K9</f>
        <v>1</v>
      </c>
    </row>
    <row r="10" spans="2:9">
      <c r="B10" s="15" t="str">
        <f>Неделя!A10</f>
        <v>Сбер красина 2х150</v>
      </c>
      <c r="C10" s="15">
        <f>Неделя!B10</f>
        <v>2.5499999999999998</v>
      </c>
      <c r="D10" s="15">
        <f>Неделя!C10</f>
        <v>0</v>
      </c>
      <c r="E10" s="15">
        <f>Неделя!D10</f>
        <v>2</v>
      </c>
      <c r="F10" s="15">
        <f>Неделя!E10</f>
        <v>0</v>
      </c>
      <c r="G10" s="15">
        <f>Неделя!F10</f>
        <v>0</v>
      </c>
      <c r="H10" s="15">
        <f>Неделя!G10</f>
        <v>0</v>
      </c>
      <c r="I10" s="15">
        <f>Неделя!K10</f>
        <v>1</v>
      </c>
    </row>
    <row r="11" spans="2:9">
      <c r="B11" s="15" t="str">
        <f>Неделя!A11</f>
        <v>сбербанк гоголя 98-3ий вход 1 х 150</v>
      </c>
      <c r="C11" s="15">
        <f>Неделя!B11</f>
        <v>1.2749999999999999</v>
      </c>
      <c r="D11" s="15">
        <f>Неделя!C11</f>
        <v>2</v>
      </c>
      <c r="E11" s="15">
        <f>Неделя!D11</f>
        <v>5</v>
      </c>
      <c r="F11" s="15">
        <f>Неделя!E11</f>
        <v>0</v>
      </c>
      <c r="G11" s="15">
        <f>Неделя!F11</f>
        <v>0</v>
      </c>
      <c r="H11" s="15">
        <f>Неделя!G11</f>
        <v>0</v>
      </c>
      <c r="I11" s="15">
        <f>Неделя!K11</f>
        <v>1</v>
      </c>
    </row>
    <row r="12" spans="2:9">
      <c r="B12" s="15" t="str">
        <f>Неделя!A12</f>
        <v>сбербанк гоголя103- 2х150 коричневые</v>
      </c>
      <c r="C12" s="15">
        <f>Неделя!B12</f>
        <v>2.5499999999999998</v>
      </c>
      <c r="D12" s="15">
        <f>Неделя!C12</f>
        <v>0</v>
      </c>
      <c r="E12" s="15">
        <f>Неделя!D12</f>
        <v>2</v>
      </c>
      <c r="F12" s="15">
        <f>Неделя!E12</f>
        <v>0</v>
      </c>
      <c r="G12" s="15">
        <f>Неделя!F12</f>
        <v>0</v>
      </c>
      <c r="H12" s="15">
        <f>Неделя!G12</f>
        <v>0</v>
      </c>
      <c r="I12" s="15">
        <f>Неделя!K12</f>
        <v>1</v>
      </c>
    </row>
    <row r="13" spans="2:9">
      <c r="B13" s="15" t="str">
        <f>Неделя!A86</f>
        <v>Альфастрахование 2х180</v>
      </c>
      <c r="C13" s="15">
        <f>Неделя!B86</f>
        <v>4.1399999999999997</v>
      </c>
      <c r="D13" s="15">
        <f>Неделя!C86</f>
        <v>2</v>
      </c>
      <c r="E13" s="15">
        <f>Неделя!D86</f>
        <v>0</v>
      </c>
      <c r="F13" s="15">
        <f>Неделя!E86</f>
        <v>0</v>
      </c>
      <c r="G13" s="15">
        <f>Неделя!F86</f>
        <v>0</v>
      </c>
      <c r="H13" s="15">
        <f>Неделя!G86</f>
        <v>0</v>
      </c>
      <c r="I13" s="15">
        <f>Неделя!K86</f>
        <v>1</v>
      </c>
    </row>
    <row r="14" spans="2:9" hidden="1">
      <c r="B14" s="15">
        <f>Неделя!A89</f>
        <v>0</v>
      </c>
      <c r="C14" s="15">
        <f>Неделя!B89</f>
        <v>0</v>
      </c>
      <c r="D14" s="15">
        <f>Неделя!C89</f>
        <v>0</v>
      </c>
      <c r="E14" s="15">
        <f>Неделя!D89</f>
        <v>0</v>
      </c>
      <c r="F14" s="15">
        <f>Неделя!E89</f>
        <v>0</v>
      </c>
      <c r="G14" s="15">
        <f>Неделя!F89</f>
        <v>0</v>
      </c>
      <c r="H14" s="15">
        <f>Неделя!G89</f>
        <v>0</v>
      </c>
      <c r="I14" s="15">
        <f>Неделя!K89</f>
        <v>0</v>
      </c>
    </row>
    <row r="15" spans="2:9">
      <c r="B15" s="15" t="str">
        <f>Неделя!A13</f>
        <v>Велес дзержинского 180</v>
      </c>
      <c r="C15" s="15">
        <f>Неделя!B13</f>
        <v>2.0699999999999998</v>
      </c>
      <c r="D15" s="15">
        <f>Неделя!C13</f>
        <v>1</v>
      </c>
      <c r="E15" s="15">
        <f>Неделя!D13</f>
        <v>0</v>
      </c>
      <c r="F15" s="15">
        <f>Неделя!E13</f>
        <v>0</v>
      </c>
      <c r="G15" s="15">
        <f>Неделя!F13</f>
        <v>0</v>
      </c>
      <c r="H15" s="15">
        <f>Неделя!G13</f>
        <v>0</v>
      </c>
      <c r="I15" s="15">
        <f>Неделя!K13</f>
        <v>1</v>
      </c>
    </row>
    <row r="16" spans="2:9">
      <c r="B16" s="15" t="str">
        <f>Неделя!A14</f>
        <v>велес юбилейный-150 новый</v>
      </c>
      <c r="C16" s="15">
        <f>Неделя!B14</f>
        <v>1.2749999999999999</v>
      </c>
      <c r="D16" s="15">
        <f>Неделя!C14</f>
        <v>0</v>
      </c>
      <c r="E16" s="15">
        <f>Неделя!D14</f>
        <v>1</v>
      </c>
      <c r="F16" s="15">
        <f>Неделя!E14</f>
        <v>0</v>
      </c>
      <c r="G16" s="15">
        <f>Неделя!F14</f>
        <v>0</v>
      </c>
      <c r="H16" s="15">
        <f>Неделя!G14</f>
        <v>0</v>
      </c>
      <c r="I16" s="15">
        <f>Неделя!K14</f>
        <v>1</v>
      </c>
    </row>
    <row r="17" spans="2:9">
      <c r="B17" s="15" t="str">
        <f>Неделя!A94</f>
        <v>Вояж володарская150 сер. 1 шт.нов.</v>
      </c>
      <c r="C17" s="15">
        <f>Неделя!B94</f>
        <v>1.2749999999999999</v>
      </c>
      <c r="D17" s="15">
        <f>Неделя!C94</f>
        <v>0</v>
      </c>
      <c r="E17" s="15">
        <f>Неделя!D94</f>
        <v>1</v>
      </c>
      <c r="F17" s="15">
        <f>Неделя!E94</f>
        <v>0</v>
      </c>
      <c r="G17" s="15">
        <f>Неделя!F94</f>
        <v>0</v>
      </c>
      <c r="H17" s="15">
        <f>Неделя!G94</f>
        <v>0</v>
      </c>
      <c r="I17" s="15">
        <f>Неделя!K94</f>
        <v>1</v>
      </c>
    </row>
    <row r="18" spans="2:9">
      <c r="B18" s="15" t="str">
        <f>Неделя!A15</f>
        <v>газпроммежрегионгаз- 2x150, 180 </v>
      </c>
      <c r="C18" s="15">
        <f>Неделя!B15</f>
        <v>4.6199999999999992</v>
      </c>
      <c r="D18" s="15">
        <f>Неделя!C15</f>
        <v>1</v>
      </c>
      <c r="E18" s="15">
        <f>Неделя!D15</f>
        <v>0</v>
      </c>
      <c r="F18" s="15">
        <f>Неделя!E15</f>
        <v>0</v>
      </c>
      <c r="G18" s="15">
        <f>Неделя!F15</f>
        <v>0</v>
      </c>
      <c r="H18" s="15">
        <f>Неделя!G15</f>
        <v>0</v>
      </c>
      <c r="I18" s="15">
        <f>Неделя!K15</f>
        <v>1</v>
      </c>
    </row>
    <row r="19" spans="2:9" ht="18.2" customHeight="1">
      <c r="B19" s="15" t="str">
        <f>Неделя!A97</f>
        <v>Джинса ленина 150</v>
      </c>
      <c r="C19" s="15">
        <f>Неделя!B97</f>
        <v>1.2749999999999999</v>
      </c>
      <c r="D19" s="15">
        <f>Неделя!C97</f>
        <v>0</v>
      </c>
      <c r="E19" s="15">
        <f>Неделя!D97</f>
        <v>1</v>
      </c>
      <c r="F19" s="15">
        <f>Неделя!E97</f>
        <v>0</v>
      </c>
      <c r="G19" s="15">
        <f>Неделя!F97</f>
        <v>0</v>
      </c>
      <c r="H19" s="15">
        <f>Неделя!G97</f>
        <v>0</v>
      </c>
      <c r="I19" s="15">
        <f>Неделя!K97</f>
        <v>1</v>
      </c>
    </row>
    <row r="20" spans="2:9">
      <c r="B20" s="15" t="str">
        <f>Неделя!A100</f>
        <v>Ив роше Ленина180</v>
      </c>
      <c r="C20" s="15">
        <f>Неделя!B100</f>
        <v>2.0699999999999998</v>
      </c>
      <c r="D20" s="15">
        <f>Неделя!C100</f>
        <v>1</v>
      </c>
      <c r="E20" s="15">
        <f>Неделя!D100</f>
        <v>0</v>
      </c>
      <c r="F20" s="15">
        <f>Неделя!E100</f>
        <v>0</v>
      </c>
      <c r="G20" s="15">
        <f>Неделя!F100</f>
        <v>0</v>
      </c>
      <c r="H20" s="15">
        <f>Неделя!G100</f>
        <v>0</v>
      </c>
      <c r="I20" s="15">
        <f>Неделя!K100</f>
        <v>1</v>
      </c>
    </row>
    <row r="21" spans="2:9">
      <c r="B21" s="15" t="str">
        <f>Неделя!A106</f>
        <v>Каменный цветок омская 101 150 нов</v>
      </c>
      <c r="C21" s="15">
        <f>Неделя!B106</f>
        <v>1.2749999999999999</v>
      </c>
      <c r="D21" s="15">
        <f>Неделя!C106</f>
        <v>0</v>
      </c>
      <c r="E21" s="15">
        <f>Неделя!D106</f>
        <v>1</v>
      </c>
      <c r="F21" s="15">
        <f>Неделя!E106</f>
        <v>0</v>
      </c>
      <c r="G21" s="15">
        <f>Неделя!F106</f>
        <v>0</v>
      </c>
      <c r="H21" s="15">
        <f>Неделя!G106</f>
        <v>0</v>
      </c>
      <c r="I21" s="15">
        <f>Неделя!K106</f>
        <v>1</v>
      </c>
    </row>
    <row r="22" spans="2:9">
      <c r="B22" s="15" t="str">
        <f>Неделя!A153</f>
        <v>Каре Куйбышева 150</v>
      </c>
      <c r="C22" s="15">
        <f>Неделя!B153</f>
        <v>1.2749999999999999</v>
      </c>
      <c r="D22" s="15">
        <f>Неделя!C153</f>
        <v>0</v>
      </c>
      <c r="E22" s="15">
        <f>Неделя!D153</f>
        <v>0</v>
      </c>
      <c r="F22" s="15">
        <f>Неделя!E153</f>
        <v>0</v>
      </c>
      <c r="G22" s="15">
        <f>Неделя!F153</f>
        <v>0</v>
      </c>
      <c r="H22" s="15">
        <f>Неделя!G153</f>
        <v>0</v>
      </c>
      <c r="I22" s="15">
        <f>Неделя!K153</f>
        <v>1</v>
      </c>
    </row>
    <row r="23" spans="2:9">
      <c r="B23" s="15" t="str">
        <f>Неделя!A110</f>
        <v>Карэ ленина 150 коричневый</v>
      </c>
      <c r="C23" s="15">
        <f>Неделя!B110</f>
        <v>1.2749999999999999</v>
      </c>
      <c r="D23" s="15">
        <f>Неделя!C110</f>
        <v>0</v>
      </c>
      <c r="E23" s="15">
        <f>Неделя!D110</f>
        <v>1</v>
      </c>
      <c r="F23" s="15">
        <f>Неделя!E110</f>
        <v>0</v>
      </c>
      <c r="G23" s="15">
        <f>Неделя!F110</f>
        <v>0</v>
      </c>
      <c r="H23" s="15">
        <f>Неделя!G110</f>
        <v>0</v>
      </c>
      <c r="I23" s="15">
        <f>Неделя!K110</f>
        <v>1</v>
      </c>
    </row>
    <row r="24" spans="2:9">
      <c r="B24" s="15" t="str">
        <f>Неделя!A16</f>
        <v>Кижк 400 рез, 180</v>
      </c>
      <c r="C24" s="15">
        <f>Неделя!B16</f>
        <v>6.07</v>
      </c>
      <c r="D24" s="15">
        <f>Неделя!C16</f>
        <v>1</v>
      </c>
      <c r="E24" s="15">
        <f>Неделя!D16</f>
        <v>0</v>
      </c>
      <c r="F24" s="15">
        <f>Неделя!E16</f>
        <v>0</v>
      </c>
      <c r="G24" s="15">
        <f>Неделя!F16</f>
        <v>1</v>
      </c>
      <c r="H24" s="15">
        <f>Неделя!G16</f>
        <v>0</v>
      </c>
      <c r="I24" s="15">
        <f>Неделя!K16</f>
        <v>1</v>
      </c>
    </row>
    <row r="25" spans="2:9">
      <c r="B25" s="15" t="str">
        <f>Неделя!A17</f>
        <v>кодак Кирова-150 старые </v>
      </c>
      <c r="C25" s="15">
        <f>Неделя!B17</f>
        <v>1.2749999999999999</v>
      </c>
      <c r="D25" s="15">
        <f>Неделя!C17</f>
        <v>0</v>
      </c>
      <c r="E25" s="15">
        <f>Неделя!D17</f>
        <v>1</v>
      </c>
      <c r="F25" s="15">
        <f>Неделя!E17</f>
        <v>0</v>
      </c>
      <c r="G25" s="15">
        <f>Неделя!F17</f>
        <v>0</v>
      </c>
      <c r="H25" s="15">
        <f>Неделя!G17</f>
        <v>0</v>
      </c>
      <c r="I25" s="15">
        <f>Неделя!K17</f>
        <v>1</v>
      </c>
    </row>
    <row r="26" spans="2:9" hidden="1">
      <c r="B26" s="15">
        <f>Неделя!A113</f>
        <v>0</v>
      </c>
      <c r="C26" s="15">
        <f>Неделя!B113</f>
        <v>0</v>
      </c>
      <c r="D26" s="15">
        <f>Неделя!C113</f>
        <v>0</v>
      </c>
      <c r="E26" s="15">
        <f>Неделя!D113</f>
        <v>0</v>
      </c>
      <c r="F26" s="15">
        <f>Неделя!E113</f>
        <v>0</v>
      </c>
      <c r="G26" s="15">
        <f>Неделя!F113</f>
        <v>0</v>
      </c>
      <c r="H26" s="15">
        <f>Неделя!G113</f>
        <v>0</v>
      </c>
      <c r="I26" s="15">
        <f>Неделя!K113</f>
        <v>0</v>
      </c>
    </row>
    <row r="27" spans="2:9" hidden="1">
      <c r="B27" s="15">
        <f>Неделя!A114</f>
        <v>0</v>
      </c>
      <c r="C27" s="15">
        <f>Неделя!B114</f>
        <v>0</v>
      </c>
      <c r="D27" s="15">
        <f>Неделя!C114</f>
        <v>0</v>
      </c>
      <c r="E27" s="15">
        <f>Неделя!D114</f>
        <v>0</v>
      </c>
      <c r="F27" s="15">
        <f>Неделя!E114</f>
        <v>0</v>
      </c>
      <c r="G27" s="15">
        <f>Неделя!F114</f>
        <v>0</v>
      </c>
      <c r="H27" s="15">
        <f>Неделя!G114</f>
        <v>0</v>
      </c>
      <c r="I27" s="15">
        <f>Неделя!K114</f>
        <v>0</v>
      </c>
    </row>
    <row r="28" spans="2:9">
      <c r="B28" s="15" t="str">
        <f>Неделя!A18</f>
        <v>мегаблин гоголя-180 </v>
      </c>
      <c r="C28" s="15">
        <f>Неделя!B18</f>
        <v>2.0699999999999998</v>
      </c>
      <c r="D28" s="15">
        <f>Неделя!C18</f>
        <v>1</v>
      </c>
      <c r="E28" s="15">
        <f>Неделя!D18</f>
        <v>0</v>
      </c>
      <c r="F28" s="15">
        <f>Неделя!E18</f>
        <v>0</v>
      </c>
      <c r="G28" s="15">
        <f>Неделя!F18</f>
        <v>0</v>
      </c>
      <c r="H28" s="15">
        <f>Неделя!G18</f>
        <v>0</v>
      </c>
      <c r="I28" s="15">
        <f>Неделя!K18</f>
        <v>1</v>
      </c>
    </row>
    <row r="29" spans="2:9">
      <c r="B29" s="15" t="str">
        <f>Неделя!A19</f>
        <v>Монетка гоголя 103 -180</v>
      </c>
      <c r="C29" s="15">
        <f>Неделя!B19</f>
        <v>2.0699999999999998</v>
      </c>
      <c r="D29" s="15">
        <f>Неделя!C19</f>
        <v>1</v>
      </c>
      <c r="E29" s="15">
        <f>Неделя!D19</f>
        <v>0</v>
      </c>
      <c r="F29" s="15">
        <f>Неделя!E19</f>
        <v>0</v>
      </c>
      <c r="G29" s="15">
        <f>Неделя!F19</f>
        <v>0</v>
      </c>
      <c r="H29" s="15">
        <f>Неделя!G19</f>
        <v>0</v>
      </c>
      <c r="I29" s="15">
        <f>Неделя!K19</f>
        <v>1</v>
      </c>
    </row>
    <row r="30" spans="2:9">
      <c r="B30" s="15" t="str">
        <f>Неделя!A20</f>
        <v>Монетка кирова 180</v>
      </c>
      <c r="C30" s="15">
        <f>Неделя!B20</f>
        <v>2.0699999999999998</v>
      </c>
      <c r="D30" s="15">
        <f>Неделя!C20</f>
        <v>1</v>
      </c>
      <c r="E30" s="15">
        <f>Неделя!D20</f>
        <v>0</v>
      </c>
      <c r="F30" s="15">
        <f>Неделя!E20</f>
        <v>0</v>
      </c>
      <c r="G30" s="15">
        <f>Неделя!F20</f>
        <v>0</v>
      </c>
      <c r="H30" s="15">
        <f>Неделя!G20</f>
        <v>0</v>
      </c>
      <c r="I30" s="15">
        <f>Неделя!K20</f>
        <v>1</v>
      </c>
    </row>
    <row r="31" spans="2:9">
      <c r="B31" s="15" t="str">
        <f>Неделя!A21</f>
        <v>Монетка красина 180</v>
      </c>
      <c r="C31" s="15">
        <f>Неделя!B21</f>
        <v>2.0699999999999998</v>
      </c>
      <c r="D31" s="15">
        <f>Неделя!C21</f>
        <v>1</v>
      </c>
      <c r="E31" s="15">
        <f>Неделя!D21</f>
        <v>0</v>
      </c>
      <c r="F31" s="15">
        <f>Неделя!E21</f>
        <v>0</v>
      </c>
      <c r="G31" s="15">
        <f>Неделя!F21</f>
        <v>0</v>
      </c>
      <c r="H31" s="15">
        <f>Неделя!G21</f>
        <v>0</v>
      </c>
      <c r="I31" s="15">
        <f>Неделя!K21</f>
        <v>1</v>
      </c>
    </row>
    <row r="32" spans="2:9">
      <c r="B32" s="15" t="str">
        <f>Неделя!A22</f>
        <v>Монетка пушкина 49-180</v>
      </c>
      <c r="C32" s="15">
        <f>Неделя!B22</f>
        <v>2.0699999999999998</v>
      </c>
      <c r="D32" s="15">
        <f>Неделя!C22</f>
        <v>1</v>
      </c>
      <c r="E32" s="15">
        <f>Неделя!D22</f>
        <v>0</v>
      </c>
      <c r="F32" s="15">
        <f>Неделя!E22</f>
        <v>0</v>
      </c>
      <c r="G32" s="15">
        <f>Неделя!F22</f>
        <v>0</v>
      </c>
      <c r="H32" s="15">
        <f>Неделя!G22</f>
        <v>0</v>
      </c>
      <c r="I32" s="15">
        <f>Неделя!K22</f>
        <v>1</v>
      </c>
    </row>
    <row r="33" spans="2:9">
      <c r="B33" s="15" t="str">
        <f>Неделя!A23</f>
        <v>Монтка Ленина М Горько 180</v>
      </c>
      <c r="C33" s="15">
        <f>Неделя!B23</f>
        <v>2.0699999999999998</v>
      </c>
      <c r="D33" s="15">
        <f>Неделя!C23</f>
        <v>1</v>
      </c>
      <c r="E33" s="15">
        <f>Неделя!D23</f>
        <v>0</v>
      </c>
      <c r="F33" s="15">
        <f>Неделя!E23</f>
        <v>0</v>
      </c>
      <c r="G33" s="15">
        <f>Неделя!F23</f>
        <v>0</v>
      </c>
      <c r="H33" s="15">
        <f>Неделя!G23</f>
        <v>0</v>
      </c>
      <c r="I33" s="15">
        <f>Неделя!K23</f>
        <v>1</v>
      </c>
    </row>
    <row r="34" spans="2:9">
      <c r="B34" s="15" t="str">
        <f>Неделя!A24</f>
        <v>Мясной к. маркса 150 рез</v>
      </c>
      <c r="C34" s="15">
        <f>Неделя!B24</f>
        <v>1.2749999999999999</v>
      </c>
      <c r="D34" s="15">
        <f>Неделя!C24</f>
        <v>0</v>
      </c>
      <c r="E34" s="15">
        <f>Неделя!D24</f>
        <v>1</v>
      </c>
      <c r="F34" s="15">
        <f>Неделя!E24</f>
        <v>0</v>
      </c>
      <c r="G34" s="15">
        <f>Неделя!F24</f>
        <v>0</v>
      </c>
      <c r="H34" s="15">
        <f>Неделя!G24</f>
        <v>0</v>
      </c>
      <c r="I34" s="15">
        <f>Неделя!K24</f>
        <v>1</v>
      </c>
    </row>
    <row r="35" spans="2:9">
      <c r="B35" s="15" t="str">
        <f>Неделя!A25</f>
        <v>Мясной советская 39 180 </v>
      </c>
      <c r="C35" s="15">
        <f>Неделя!B25</f>
        <v>2.0699999999999998</v>
      </c>
      <c r="D35" s="15">
        <f>Неделя!C25</f>
        <v>1</v>
      </c>
      <c r="E35" s="15">
        <f>Неделя!D25</f>
        <v>0</v>
      </c>
      <c r="F35" s="15">
        <f>Неделя!E25</f>
        <v>0</v>
      </c>
      <c r="G35" s="15">
        <f>Неделя!F25</f>
        <v>0</v>
      </c>
      <c r="H35" s="15">
        <f>Неделя!G25</f>
        <v>0</v>
      </c>
      <c r="I35" s="15">
        <f>Неделя!K25</f>
        <v>1</v>
      </c>
    </row>
    <row r="36" spans="2:9" hidden="1">
      <c r="B36" s="15" t="str">
        <f>Неделя!A36</f>
        <v>Авангард банк красина 180 сер. 1 шт</v>
      </c>
      <c r="C36" s="15">
        <f>Неделя!B36</f>
        <v>2.0699999999999998</v>
      </c>
      <c r="D36" s="15">
        <f>Неделя!C36</f>
        <v>1</v>
      </c>
      <c r="E36" s="15">
        <f>Неделя!D36</f>
        <v>0</v>
      </c>
      <c r="F36" s="15">
        <f>Неделя!E36</f>
        <v>0</v>
      </c>
      <c r="G36" s="15">
        <f>Неделя!F36</f>
        <v>0</v>
      </c>
      <c r="H36" s="15">
        <f>Неделя!G36</f>
        <v>0</v>
      </c>
      <c r="I36" s="15">
        <f>Неделя!K36</f>
        <v>0</v>
      </c>
    </row>
    <row r="37" spans="2:9" hidden="1">
      <c r="B37" s="15" t="str">
        <f>Неделя!A37</f>
        <v>Альфа банк гоголя 180</v>
      </c>
      <c r="C37" s="15">
        <f>Неделя!B37</f>
        <v>2.0699999999999998</v>
      </c>
      <c r="D37" s="15">
        <f>Неделя!C37</f>
        <v>1</v>
      </c>
      <c r="E37" s="15">
        <f>Неделя!D37</f>
        <v>0</v>
      </c>
      <c r="F37" s="15">
        <f>Неделя!E37</f>
        <v>0</v>
      </c>
      <c r="G37" s="15">
        <f>Неделя!F37</f>
        <v>0</v>
      </c>
      <c r="H37" s="15">
        <f>Неделя!G37</f>
        <v>0</v>
      </c>
      <c r="I37" s="15">
        <f>Неделя!K37</f>
        <v>0</v>
      </c>
    </row>
    <row r="38" spans="2:9" hidden="1">
      <c r="B38" s="15" t="str">
        <f>Неделя!A38</f>
        <v>Альфа банк Гоголя-красина 150 сер.нов.1 шт.</v>
      </c>
      <c r="C38" s="15">
        <f>Неделя!B38</f>
        <v>1.2749999999999999</v>
      </c>
      <c r="D38" s="15">
        <f>Неделя!C38</f>
        <v>0</v>
      </c>
      <c r="E38" s="15">
        <f>Неделя!D38</f>
        <v>1</v>
      </c>
      <c r="F38" s="15">
        <f>Неделя!E38</f>
        <v>0</v>
      </c>
      <c r="G38" s="15">
        <f>Неделя!F38</f>
        <v>0</v>
      </c>
      <c r="H38" s="15">
        <f>Неделя!G38</f>
        <v>0</v>
      </c>
      <c r="I38" s="15">
        <f>Неделя!K38</f>
        <v>0</v>
      </c>
    </row>
    <row r="39" spans="2:9" hidden="1">
      <c r="B39" s="15" t="str">
        <f>Неделя!A39</f>
        <v>Альфа мед гоголя-2х180</v>
      </c>
      <c r="C39" s="15">
        <f>Неделя!B39</f>
        <v>4.1399999999999997</v>
      </c>
      <c r="D39" s="15">
        <f>Неделя!C39</f>
        <v>2</v>
      </c>
      <c r="E39" s="15">
        <f>Неделя!D39</f>
        <v>0</v>
      </c>
      <c r="F39" s="15">
        <f>Неделя!E39</f>
        <v>0</v>
      </c>
      <c r="G39" s="15">
        <f>Неделя!F39</f>
        <v>0</v>
      </c>
      <c r="H39" s="15">
        <f>Неделя!G39</f>
        <v>0</v>
      </c>
      <c r="I39" s="15">
        <f>Неделя!K39</f>
        <v>0</v>
      </c>
    </row>
    <row r="40" spans="2:9" hidden="1">
      <c r="B40" s="15" t="str">
        <f>Неделя!A40</f>
        <v>Альфа мед к.маркса -2х180,(ц.зд. Женщины, кометология)</v>
      </c>
      <c r="C40" s="15">
        <f>Неделя!B40</f>
        <v>4.1399999999999997</v>
      </c>
      <c r="D40" s="15">
        <f>Неделя!C40</f>
        <v>2</v>
      </c>
      <c r="E40" s="15">
        <f>Неделя!D40</f>
        <v>0</v>
      </c>
      <c r="F40" s="15">
        <f>Неделя!E40</f>
        <v>0</v>
      </c>
      <c r="G40" s="15">
        <f>Неделя!F40</f>
        <v>0</v>
      </c>
      <c r="H40" s="15">
        <f>Неделя!G40</f>
        <v>0</v>
      </c>
      <c r="I40" s="15">
        <f>Неделя!K40</f>
        <v>0</v>
      </c>
    </row>
    <row r="41" spans="2:9" hidden="1">
      <c r="B41" s="15" t="str">
        <f>Неделя!A41</f>
        <v>Аннушка куйбышева 180</v>
      </c>
      <c r="C41" s="15">
        <f>Неделя!B41</f>
        <v>2.0699999999999998</v>
      </c>
      <c r="D41" s="15">
        <f>Неделя!C41</f>
        <v>1</v>
      </c>
      <c r="E41" s="15">
        <f>Неделя!D41</f>
        <v>0</v>
      </c>
      <c r="F41" s="15">
        <f>Неделя!E41</f>
        <v>0</v>
      </c>
      <c r="G41" s="15">
        <f>Неделя!F41</f>
        <v>0</v>
      </c>
      <c r="H41" s="15">
        <f>Неделя!G41</f>
        <v>0</v>
      </c>
      <c r="I41" s="15">
        <f>Неделя!K41</f>
        <v>0</v>
      </c>
    </row>
    <row r="42" spans="2:9" hidden="1">
      <c r="B42" s="15" t="str">
        <f>Неделя!A42</f>
        <v>Аптека гоголя 37-150 </v>
      </c>
      <c r="C42" s="15">
        <f>Неделя!B42</f>
        <v>1.2749999999999999</v>
      </c>
      <c r="D42" s="15">
        <f>Неделя!C42</f>
        <v>0</v>
      </c>
      <c r="E42" s="15">
        <f>Неделя!D42</f>
        <v>1</v>
      </c>
      <c r="F42" s="15">
        <f>Неделя!E42</f>
        <v>0</v>
      </c>
      <c r="G42" s="15">
        <f>Неделя!F42</f>
        <v>0</v>
      </c>
      <c r="H42" s="15">
        <f>Неделя!G42</f>
        <v>0</v>
      </c>
      <c r="I42" s="15">
        <f>Неделя!K42</f>
        <v>0</v>
      </c>
    </row>
    <row r="43" spans="2:9" hidden="1">
      <c r="B43" s="15" t="str">
        <f>Неделя!A43</f>
        <v>Аптека гоголя 9-150</v>
      </c>
      <c r="C43" s="15">
        <f>Неделя!B43</f>
        <v>1.2749999999999999</v>
      </c>
      <c r="D43" s="15">
        <f>Неделя!C43</f>
        <v>0</v>
      </c>
      <c r="E43" s="15">
        <f>Неделя!D43</f>
        <v>1</v>
      </c>
      <c r="F43" s="15">
        <f>Неделя!E43</f>
        <v>0</v>
      </c>
      <c r="G43" s="15">
        <f>Неделя!F43</f>
        <v>0</v>
      </c>
      <c r="H43" s="15">
        <f>Неделя!G43</f>
        <v>0</v>
      </c>
      <c r="I43" s="15">
        <f>Неделя!K43</f>
        <v>0</v>
      </c>
    </row>
    <row r="44" spans="2:9" hidden="1">
      <c r="B44" s="15" t="str">
        <f>Неделя!A44</f>
        <v>Аптека ленина 5-150</v>
      </c>
      <c r="C44" s="15">
        <f>Неделя!B44</f>
        <v>1.2749999999999999</v>
      </c>
      <c r="D44" s="15">
        <f>Неделя!C44</f>
        <v>0</v>
      </c>
      <c r="E44" s="15">
        <f>Неделя!D44</f>
        <v>1</v>
      </c>
      <c r="F44" s="15">
        <f>Неделя!E44</f>
        <v>0</v>
      </c>
      <c r="G44" s="15">
        <f>Неделя!F44</f>
        <v>0</v>
      </c>
      <c r="H44" s="15">
        <f>Неделя!G44</f>
        <v>0</v>
      </c>
      <c r="I44" s="15">
        <f>Неделя!K44</f>
        <v>0</v>
      </c>
    </row>
    <row r="45" spans="2:9" hidden="1">
      <c r="B45" s="15" t="str">
        <f>Неделя!A45</f>
        <v>Аптека пушкина 91-2х150</v>
      </c>
      <c r="C45" s="15">
        <f>Неделя!B45</f>
        <v>2.5499999999999998</v>
      </c>
      <c r="D45" s="15">
        <f>Неделя!C45</f>
        <v>0</v>
      </c>
      <c r="E45" s="15">
        <f>Неделя!D45</f>
        <v>2</v>
      </c>
      <c r="F45" s="15">
        <f>Неделя!E45</f>
        <v>0</v>
      </c>
      <c r="G45" s="15">
        <f>Неделя!F45</f>
        <v>0</v>
      </c>
      <c r="H45" s="15">
        <f>Неделя!G45</f>
        <v>0</v>
      </c>
      <c r="I45" s="15">
        <f>Неделя!K45</f>
        <v>0</v>
      </c>
    </row>
    <row r="46" spans="2:9" hidden="1">
      <c r="B46" s="15" t="str">
        <f>Неделя!A46</f>
        <v>Атлант кирова 250 </v>
      </c>
      <c r="C46" s="15">
        <f>Неделя!B46</f>
        <v>3.7</v>
      </c>
      <c r="D46" s="15">
        <f>Неделя!C46</f>
        <v>0</v>
      </c>
      <c r="E46" s="15">
        <f>Неделя!D46</f>
        <v>0</v>
      </c>
      <c r="F46" s="15">
        <f>Неделя!E46</f>
        <v>1</v>
      </c>
      <c r="G46" s="15">
        <f>Неделя!F46</f>
        <v>0</v>
      </c>
      <c r="H46" s="15">
        <f>Неделя!G46</f>
        <v>0</v>
      </c>
      <c r="I46" s="15">
        <f>Неделя!K46</f>
        <v>0</v>
      </c>
    </row>
    <row r="47" spans="2:9" hidden="1">
      <c r="B47" s="15" t="str">
        <f>Неделя!A47</f>
        <v>Банк России 180   2шт</v>
      </c>
      <c r="C47" s="15">
        <f>Неделя!B47</f>
        <v>4.1399999999999997</v>
      </c>
      <c r="D47" s="15">
        <f>Неделя!C47</f>
        <v>2</v>
      </c>
      <c r="E47" s="15">
        <f>Неделя!D47</f>
        <v>2</v>
      </c>
      <c r="F47" s="15">
        <f>Неделя!E47</f>
        <v>0</v>
      </c>
      <c r="G47" s="15">
        <f>Неделя!F47</f>
        <v>0</v>
      </c>
      <c r="H47" s="15">
        <f>Неделя!G47</f>
        <v>0</v>
      </c>
      <c r="I47" s="15">
        <f>Неделя!K47</f>
        <v>0</v>
      </c>
    </row>
    <row r="48" spans="2:9" hidden="1">
      <c r="B48" s="15" t="str">
        <f>Неделя!A48</f>
        <v>Баон 150</v>
      </c>
      <c r="C48" s="15">
        <f>Неделя!B48</f>
        <v>1.2749999999999999</v>
      </c>
      <c r="D48" s="15">
        <f>Неделя!C48</f>
        <v>0</v>
      </c>
      <c r="E48" s="15">
        <f>Неделя!D48</f>
        <v>1</v>
      </c>
      <c r="F48" s="15">
        <f>Неделя!E48</f>
        <v>0</v>
      </c>
      <c r="G48" s="15">
        <f>Неделя!F48</f>
        <v>0</v>
      </c>
      <c r="H48" s="15">
        <f>Неделя!G48</f>
        <v>0</v>
      </c>
      <c r="I48" s="15">
        <f>Неделя!K48</f>
        <v>0</v>
      </c>
    </row>
    <row r="49" spans="2:9" hidden="1">
      <c r="B49" s="15" t="str">
        <f>Неделя!A49</f>
        <v>Буше горького 150</v>
      </c>
      <c r="C49" s="15">
        <f>Неделя!B49</f>
        <v>1.2749999999999999</v>
      </c>
      <c r="D49" s="15">
        <f>Неделя!C49</f>
        <v>0</v>
      </c>
      <c r="E49" s="15">
        <f>Неделя!D49</f>
        <v>1</v>
      </c>
      <c r="F49" s="15">
        <f>Неделя!E49</f>
        <v>0</v>
      </c>
      <c r="G49" s="15">
        <f>Неделя!F49</f>
        <v>0</v>
      </c>
      <c r="H49" s="15">
        <f>Неделя!G49</f>
        <v>0</v>
      </c>
      <c r="I49" s="15">
        <f>Неделя!K49</f>
        <v>0</v>
      </c>
    </row>
    <row r="50" spans="2:9" hidden="1">
      <c r="B50" s="15" t="str">
        <f>Неделя!A50</f>
        <v>Буше красина  150 нов</v>
      </c>
      <c r="C50" s="15">
        <f>Неделя!B50</f>
        <v>1.2749999999999999</v>
      </c>
      <c r="D50" s="15">
        <f>Неделя!C50</f>
        <v>0</v>
      </c>
      <c r="E50" s="15">
        <f>Неделя!D50</f>
        <v>1</v>
      </c>
      <c r="F50" s="15">
        <f>Неделя!E50</f>
        <v>0</v>
      </c>
      <c r="G50" s="15">
        <f>Неделя!F50</f>
        <v>0</v>
      </c>
      <c r="H50" s="15">
        <f>Неделя!G50</f>
        <v>0</v>
      </c>
      <c r="I50" s="15">
        <f>Неделя!K50</f>
        <v>0</v>
      </c>
    </row>
    <row r="51" spans="2:9" hidden="1">
      <c r="B51" s="15" t="str">
        <f>Неделя!A51</f>
        <v>Втб гоголя-250</v>
      </c>
      <c r="C51" s="15">
        <f>Неделя!B51</f>
        <v>3.7</v>
      </c>
      <c r="D51" s="15">
        <f>Неделя!C51</f>
        <v>0</v>
      </c>
      <c r="E51" s="15">
        <f>Неделя!D51</f>
        <v>0</v>
      </c>
      <c r="F51" s="15">
        <f>Неделя!E51</f>
        <v>0</v>
      </c>
      <c r="G51" s="15">
        <f>Неделя!F51</f>
        <v>0</v>
      </c>
      <c r="H51" s="15">
        <f>Неделя!G51</f>
        <v>1</v>
      </c>
      <c r="I51" s="15">
        <f>Неделя!K51</f>
        <v>0</v>
      </c>
    </row>
    <row r="52" spans="2:9" hidden="1">
      <c r="B52" s="15" t="str">
        <f>Неделя!A52</f>
        <v>Втб куйбышева 180</v>
      </c>
      <c r="C52" s="15">
        <f>Неделя!B52</f>
        <v>2.0699999999999998</v>
      </c>
      <c r="D52" s="15">
        <f>Неделя!C52</f>
        <v>1</v>
      </c>
      <c r="E52" s="15">
        <f>Неделя!D52</f>
        <v>0</v>
      </c>
      <c r="F52" s="15">
        <f>Неделя!E52</f>
        <v>0</v>
      </c>
      <c r="G52" s="15">
        <f>Неделя!F52</f>
        <v>0</v>
      </c>
      <c r="H52" s="15">
        <f>Неделя!G52</f>
        <v>0</v>
      </c>
      <c r="I52" s="15">
        <f>Неделя!K52</f>
        <v>0</v>
      </c>
    </row>
    <row r="53" spans="2:9" hidden="1">
      <c r="B53" s="15" t="str">
        <f>Неделя!A53</f>
        <v>Газпром банк гоголя-180 </v>
      </c>
      <c r="C53" s="15">
        <f>Неделя!B53</f>
        <v>2.0699999999999998</v>
      </c>
      <c r="D53" s="15">
        <f>Неделя!C53</f>
        <v>1</v>
      </c>
      <c r="E53" s="15">
        <f>Неделя!D53</f>
        <v>0</v>
      </c>
      <c r="F53" s="15">
        <f>Неделя!E53</f>
        <v>0</v>
      </c>
      <c r="G53" s="15">
        <f>Неделя!F53</f>
        <v>0</v>
      </c>
      <c r="H53" s="15">
        <f>Неделя!G53</f>
        <v>0</v>
      </c>
      <c r="I53" s="15">
        <f>Неделя!K53</f>
        <v>0</v>
      </c>
    </row>
    <row r="54" spans="2:9" hidden="1">
      <c r="B54" s="15" t="str">
        <f>Неделя!A54</f>
        <v>Друзья друзей 2х150</v>
      </c>
      <c r="C54" s="15">
        <f>Неделя!B54</f>
        <v>2.5499999999999998</v>
      </c>
      <c r="D54" s="15">
        <f>Неделя!C54</f>
        <v>2</v>
      </c>
      <c r="E54" s="15">
        <f>Неделя!D54</f>
        <v>0</v>
      </c>
      <c r="F54" s="15">
        <f>Неделя!E54</f>
        <v>0</v>
      </c>
      <c r="G54" s="15">
        <f>Неделя!F54</f>
        <v>0</v>
      </c>
      <c r="H54" s="15">
        <f>Неделя!G54</f>
        <v>0</v>
      </c>
      <c r="I54" s="15">
        <f>Неделя!K54</f>
        <v>0</v>
      </c>
    </row>
    <row r="55" spans="2:9" hidden="1">
      <c r="B55" s="15" t="str">
        <f>Неделя!A55</f>
        <v>Жизнь март пролетарская -180</v>
      </c>
      <c r="C55" s="15">
        <f>Неделя!B55</f>
        <v>2.0699999999999998</v>
      </c>
      <c r="D55" s="15">
        <f>Неделя!C55</f>
        <v>1</v>
      </c>
      <c r="E55" s="15">
        <f>Неделя!D55</f>
        <v>0</v>
      </c>
      <c r="F55" s="15">
        <f>Неделя!E55</f>
        <v>0</v>
      </c>
      <c r="G55" s="15">
        <f>Неделя!F55</f>
        <v>0</v>
      </c>
      <c r="H55" s="15">
        <f>Неделя!G55</f>
        <v>0</v>
      </c>
      <c r="I55" s="15">
        <f>Неделя!K55</f>
        <v>0</v>
      </c>
    </row>
    <row r="56" spans="2:9" hidden="1">
      <c r="B56" s="15" t="str">
        <f>Неделя!A56</f>
        <v>инвитро красина-3х150 новые</v>
      </c>
      <c r="C56" s="15">
        <f>Неделя!B56</f>
        <v>3.8249999999999997</v>
      </c>
      <c r="D56" s="15">
        <f>Неделя!C56</f>
        <v>0</v>
      </c>
      <c r="E56" s="15">
        <f>Неделя!D56</f>
        <v>3</v>
      </c>
      <c r="F56" s="15">
        <f>Неделя!E56</f>
        <v>0</v>
      </c>
      <c r="G56" s="15">
        <f>Неделя!F56</f>
        <v>0</v>
      </c>
      <c r="H56" s="15">
        <f>Неделя!G56</f>
        <v>0</v>
      </c>
      <c r="I56" s="15">
        <f>Неделя!K56</f>
        <v>0</v>
      </c>
    </row>
    <row r="57" spans="2:9" hidden="1">
      <c r="B57" s="15" t="str">
        <f>Неделя!A57</f>
        <v>Инвитро ленина-2х150 новые стелим на себя</v>
      </c>
      <c r="C57" s="15">
        <f>Неделя!B57</f>
        <v>2.5499999999999998</v>
      </c>
      <c r="D57" s="15">
        <f>Неделя!C57</f>
        <v>0</v>
      </c>
      <c r="E57" s="15">
        <f>Неделя!D57</f>
        <v>2</v>
      </c>
      <c r="F57" s="15">
        <f>Неделя!E57</f>
        <v>0</v>
      </c>
      <c r="G57" s="15">
        <f>Неделя!F57</f>
        <v>0</v>
      </c>
      <c r="H57" s="15">
        <f>Неделя!G57</f>
        <v>0</v>
      </c>
      <c r="I57" s="15">
        <f>Неделя!K57</f>
        <v>0</v>
      </c>
    </row>
    <row r="58" spans="2:9" hidden="1">
      <c r="B58" s="15" t="str">
        <f>Неделя!A58</f>
        <v>Курган Доставка</v>
      </c>
      <c r="C58" s="15">
        <f>Неделя!B58</f>
        <v>1.2749999999999999</v>
      </c>
      <c r="D58" s="15">
        <f>Неделя!C58</f>
        <v>0</v>
      </c>
      <c r="E58" s="15">
        <f>Неделя!D58</f>
        <v>1</v>
      </c>
      <c r="F58" s="15">
        <f>Неделя!E58</f>
        <v>0</v>
      </c>
      <c r="G58" s="15">
        <f>Неделя!F58</f>
        <v>0</v>
      </c>
      <c r="H58" s="15">
        <f>Неделя!G58</f>
        <v>0</v>
      </c>
      <c r="I58" s="15">
        <f>Неделя!K58</f>
        <v>0</v>
      </c>
    </row>
    <row r="59" spans="2:9" hidden="1">
      <c r="B59" s="15" t="str">
        <f>Неделя!A59</f>
        <v>Летуаль 180</v>
      </c>
      <c r="C59" s="15">
        <f>Неделя!B59</f>
        <v>2.0699999999999998</v>
      </c>
      <c r="D59" s="15">
        <f>Неделя!C59</f>
        <v>1</v>
      </c>
      <c r="E59" s="15">
        <f>Неделя!D59</f>
        <v>0</v>
      </c>
      <c r="F59" s="15">
        <f>Неделя!E59</f>
        <v>0</v>
      </c>
      <c r="G59" s="15">
        <f>Неделя!F59</f>
        <v>0</v>
      </c>
      <c r="H59" s="15">
        <f>Неделя!G59</f>
        <v>0</v>
      </c>
      <c r="I59" s="15">
        <f>Неделя!K59</f>
        <v>0</v>
      </c>
    </row>
    <row r="60" spans="2:9" hidden="1">
      <c r="B60" s="15" t="str">
        <f>Неделя!A60</f>
        <v>М.горького 40  180*2</v>
      </c>
      <c r="C60" s="15">
        <f>Неделя!B60</f>
        <v>4.1399999999999997</v>
      </c>
      <c r="D60" s="15">
        <f>Неделя!C60</f>
        <v>2</v>
      </c>
      <c r="E60" s="15">
        <f>Неделя!D60</f>
        <v>0</v>
      </c>
      <c r="F60" s="15">
        <f>Неделя!E60</f>
        <v>0</v>
      </c>
      <c r="G60" s="15">
        <f>Неделя!F60</f>
        <v>0</v>
      </c>
      <c r="H60" s="15">
        <f>Неделя!G60</f>
        <v>0</v>
      </c>
      <c r="I60" s="15">
        <f>Неделя!K60</f>
        <v>0</v>
      </c>
    </row>
    <row r="61" spans="2:9" hidden="1">
      <c r="B61" s="15" t="str">
        <f>Неделя!A61</f>
        <v>Магнит Володарского 180 </v>
      </c>
      <c r="C61" s="15">
        <f>Неделя!B61</f>
        <v>2.0699999999999998</v>
      </c>
      <c r="D61" s="15">
        <f>Неделя!C61</f>
        <v>1</v>
      </c>
      <c r="E61" s="15">
        <f>Неделя!D61</f>
        <v>0</v>
      </c>
      <c r="F61" s="15">
        <f>Неделя!E61</f>
        <v>0</v>
      </c>
      <c r="G61" s="15">
        <f>Неделя!F61</f>
        <v>0</v>
      </c>
      <c r="H61" s="15">
        <f>Неделя!G61</f>
        <v>0</v>
      </c>
      <c r="I61" s="15">
        <f>Неделя!K61</f>
        <v>0</v>
      </c>
    </row>
    <row r="62" spans="2:9" hidden="1">
      <c r="B62" s="15" t="str">
        <f>Неделя!A62</f>
        <v>Магнит гоголя 38-180</v>
      </c>
      <c r="C62" s="15">
        <f>Неделя!B62</f>
        <v>2.0699999999999998</v>
      </c>
      <c r="D62" s="15">
        <f>Неделя!C62</f>
        <v>1</v>
      </c>
      <c r="E62" s="15">
        <f>Неделя!D62</f>
        <v>0</v>
      </c>
      <c r="F62" s="15">
        <f>Неделя!E62</f>
        <v>0</v>
      </c>
      <c r="G62" s="15">
        <f>Неделя!F62</f>
        <v>0</v>
      </c>
      <c r="H62" s="15">
        <f>Неделя!G62</f>
        <v>0</v>
      </c>
      <c r="I62" s="15">
        <f>Неделя!K62</f>
        <v>0</v>
      </c>
    </row>
    <row r="63" spans="2:9" hidden="1">
      <c r="B63" s="15" t="str">
        <f>Неделя!A63</f>
        <v>Магнит гоголя 66-180</v>
      </c>
      <c r="C63" s="15">
        <f>Неделя!B63</f>
        <v>2.0699999999999998</v>
      </c>
      <c r="D63" s="15">
        <f>Неделя!C63</f>
        <v>1</v>
      </c>
      <c r="E63" s="15">
        <f>Неделя!D63</f>
        <v>0</v>
      </c>
      <c r="F63" s="15">
        <f>Неделя!E63</f>
        <v>0</v>
      </c>
      <c r="G63" s="15">
        <f>Неделя!F63</f>
        <v>0</v>
      </c>
      <c r="H63" s="15">
        <f>Неделя!G63</f>
        <v>0</v>
      </c>
      <c r="I63" s="15">
        <f>Неделя!K63</f>
        <v>0</v>
      </c>
    </row>
    <row r="64" spans="2:9" hidden="1">
      <c r="B64" s="15" t="str">
        <f>Неделя!A64</f>
        <v>Магнит Гоголя 76 180</v>
      </c>
      <c r="C64" s="15">
        <f>Неделя!B64</f>
        <v>2.0699999999999998</v>
      </c>
      <c r="D64" s="15">
        <f>Неделя!C64</f>
        <v>1</v>
      </c>
      <c r="E64" s="15">
        <f>Неделя!D64</f>
        <v>0</v>
      </c>
      <c r="F64" s="15">
        <f>Неделя!E64</f>
        <v>0</v>
      </c>
      <c r="G64" s="15">
        <f>Неделя!F64</f>
        <v>0</v>
      </c>
      <c r="H64" s="15">
        <f>Неделя!G64</f>
        <v>0</v>
      </c>
      <c r="I64" s="15">
        <f>Неделя!K64</f>
        <v>0</v>
      </c>
    </row>
    <row r="65" spans="2:9" hidden="1">
      <c r="B65" s="15" t="str">
        <f>Неделя!A65</f>
        <v>Магнит К.маркса 180</v>
      </c>
      <c r="C65" s="15">
        <f>Неделя!B65</f>
        <v>2.0699999999999998</v>
      </c>
      <c r="D65" s="15">
        <f>Неделя!C65</f>
        <v>1</v>
      </c>
      <c r="E65" s="15">
        <f>Неделя!D65</f>
        <v>0</v>
      </c>
      <c r="F65" s="15">
        <f>Неделя!E65</f>
        <v>0</v>
      </c>
      <c r="G65" s="15">
        <f>Неделя!F65</f>
        <v>0</v>
      </c>
      <c r="H65" s="15">
        <f>Неделя!G65</f>
        <v>0</v>
      </c>
      <c r="I65" s="15">
        <f>Неделя!K65</f>
        <v>0</v>
      </c>
    </row>
    <row r="66" spans="2:9" hidden="1">
      <c r="B66" s="15" t="str">
        <f>Неделя!A66</f>
        <v>магнит красина 180</v>
      </c>
      <c r="C66" s="15">
        <f>Неделя!B66</f>
        <v>2.0699999999999998</v>
      </c>
      <c r="D66" s="15">
        <f>Неделя!C66</f>
        <v>1</v>
      </c>
      <c r="E66" s="15">
        <f>Неделя!D66</f>
        <v>0</v>
      </c>
      <c r="F66" s="15">
        <f>Неделя!E66</f>
        <v>0</v>
      </c>
      <c r="G66" s="15">
        <f>Неделя!F66</f>
        <v>0</v>
      </c>
      <c r="H66" s="15">
        <f>Неделя!G66</f>
        <v>0</v>
      </c>
      <c r="I66" s="15">
        <f>Неделя!K66</f>
        <v>0</v>
      </c>
    </row>
    <row r="67" spans="2:9" hidden="1">
      <c r="B67" s="15" t="str">
        <f>Неделя!A67</f>
        <v>Магнит советская 39 180</v>
      </c>
      <c r="C67" s="15">
        <f>Неделя!B67</f>
        <v>2.0699999999999998</v>
      </c>
      <c r="D67" s="15">
        <f>Неделя!C67</f>
        <v>1</v>
      </c>
      <c r="E67" s="15">
        <f>Неделя!D67</f>
        <v>0</v>
      </c>
      <c r="F67" s="15">
        <f>Неделя!E67</f>
        <v>0</v>
      </c>
      <c r="G67" s="15">
        <f>Неделя!F67</f>
        <v>0</v>
      </c>
      <c r="H67" s="15">
        <f>Неделя!G67</f>
        <v>0</v>
      </c>
      <c r="I67" s="15">
        <f>Неделя!K67</f>
        <v>0</v>
      </c>
    </row>
    <row r="68" spans="2:9" hidden="1">
      <c r="B68" s="15" t="str">
        <f>Неделя!A68</f>
        <v>Магнит советская 40 180</v>
      </c>
      <c r="C68" s="15">
        <f>Неделя!B68</f>
        <v>2.0699999999999998</v>
      </c>
      <c r="D68" s="15">
        <f>Неделя!C68</f>
        <v>1</v>
      </c>
      <c r="E68" s="15">
        <f>Неделя!D68</f>
        <v>0</v>
      </c>
      <c r="F68" s="15">
        <f>Неделя!E68</f>
        <v>0</v>
      </c>
      <c r="G68" s="15">
        <f>Неделя!F68</f>
        <v>0</v>
      </c>
      <c r="H68" s="15">
        <f>Неделя!G68</f>
        <v>0</v>
      </c>
      <c r="I68" s="15">
        <f>Неделя!K68</f>
        <v>0</v>
      </c>
    </row>
    <row r="69" spans="2:9" hidden="1">
      <c r="B69" s="15" t="str">
        <f>Неделя!A69</f>
        <v>Мегафон советская 2х150 рез</v>
      </c>
      <c r="C69" s="15">
        <f>Неделя!B69</f>
        <v>2.5499999999999998</v>
      </c>
      <c r="D69" s="15">
        <f>Неделя!C69</f>
        <v>0</v>
      </c>
      <c r="E69" s="15">
        <f>Неделя!D69</f>
        <v>2</v>
      </c>
      <c r="F69" s="15">
        <f>Неделя!E69</f>
        <v>0</v>
      </c>
      <c r="G69" s="15">
        <f>Неделя!F69</f>
        <v>0</v>
      </c>
      <c r="H69" s="15">
        <f>Неделя!G69</f>
        <v>0</v>
      </c>
      <c r="I69" s="15">
        <f>Неделя!K69</f>
        <v>0</v>
      </c>
    </row>
    <row r="70" spans="2:9" hidden="1">
      <c r="B70" s="15">
        <f>Неделя!A70</f>
        <v>0</v>
      </c>
      <c r="C70" s="15">
        <f>Неделя!B70</f>
        <v>0</v>
      </c>
      <c r="D70" s="15">
        <f>Неделя!C70</f>
        <v>0</v>
      </c>
      <c r="E70" s="15">
        <f>Неделя!D70</f>
        <v>0</v>
      </c>
      <c r="F70" s="15">
        <f>Неделя!E70</f>
        <v>0</v>
      </c>
      <c r="G70" s="15">
        <f>Неделя!F70</f>
        <v>0</v>
      </c>
      <c r="H70" s="15">
        <f>Неделя!G70</f>
        <v>0</v>
      </c>
      <c r="I70" s="15">
        <f>Неделя!K70</f>
        <v>0</v>
      </c>
    </row>
    <row r="71" spans="2:9" hidden="1">
      <c r="B71" s="15" t="str">
        <f>Неделя!A71</f>
        <v>мтс гоголя 53 - 180серый 1</v>
      </c>
      <c r="C71" s="15">
        <f>Неделя!B71</f>
        <v>2.0699999999999998</v>
      </c>
      <c r="D71" s="15">
        <f>Неделя!C71</f>
        <v>1</v>
      </c>
      <c r="E71" s="15">
        <f>Неделя!D71</f>
        <v>0</v>
      </c>
      <c r="F71" s="15">
        <f>Неделя!E71</f>
        <v>0</v>
      </c>
      <c r="G71" s="15">
        <f>Неделя!F71</f>
        <v>0</v>
      </c>
      <c r="H71" s="15">
        <f>Неделя!G71</f>
        <v>0</v>
      </c>
      <c r="I71" s="15">
        <f>Неделя!K71</f>
        <v>0</v>
      </c>
    </row>
    <row r="72" spans="2:9" hidden="1">
      <c r="B72" s="15" t="str">
        <f>Неделя!A72</f>
        <v>МТС Пушкина 150</v>
      </c>
      <c r="C72" s="15">
        <f>Неделя!B72</f>
        <v>1.2749999999999999</v>
      </c>
      <c r="D72" s="15">
        <f>Неделя!C72</f>
        <v>0</v>
      </c>
      <c r="E72" s="15">
        <f>Неделя!D72</f>
        <v>0</v>
      </c>
      <c r="F72" s="15">
        <f>Неделя!E72</f>
        <v>0</v>
      </c>
      <c r="G72" s="15">
        <f>Неделя!F72</f>
        <v>0</v>
      </c>
      <c r="H72" s="15">
        <f>Неделя!G72</f>
        <v>0</v>
      </c>
      <c r="I72" s="15">
        <f>Неделя!K72</f>
        <v>0</v>
      </c>
    </row>
    <row r="73" spans="2:9" hidden="1">
      <c r="B73" s="15" t="str">
        <f>Неделя!A73</f>
        <v>мтс Пушкина 167- 150</v>
      </c>
      <c r="C73" s="15">
        <f>Неделя!B73</f>
        <v>1.2749999999999999</v>
      </c>
      <c r="D73" s="15">
        <f>Неделя!C73</f>
        <v>0</v>
      </c>
      <c r="E73" s="15">
        <f>Неделя!D73</f>
        <v>1</v>
      </c>
      <c r="F73" s="15">
        <f>Неделя!E73</f>
        <v>0</v>
      </c>
      <c r="G73" s="15">
        <f>Неделя!F73</f>
        <v>0</v>
      </c>
      <c r="H73" s="15">
        <f>Неделя!G73</f>
        <v>0</v>
      </c>
      <c r="I73" s="15">
        <f>Неделя!K73</f>
        <v>0</v>
      </c>
    </row>
    <row r="74" spans="2:9" hidden="1">
      <c r="B74" s="15" t="str">
        <f>Неделя!A74</f>
        <v>Промсвязь банк 150,180</v>
      </c>
      <c r="C74" s="15">
        <f>Неделя!B74</f>
        <v>3.3449999999999998</v>
      </c>
      <c r="D74" s="15">
        <f>Неделя!C74</f>
        <v>1</v>
      </c>
      <c r="E74" s="15">
        <f>Неделя!D74</f>
        <v>1</v>
      </c>
      <c r="F74" s="15">
        <f>Неделя!E74</f>
        <v>0</v>
      </c>
      <c r="G74" s="15">
        <f>Неделя!F74</f>
        <v>0</v>
      </c>
      <c r="H74" s="15">
        <f>Неделя!G74</f>
        <v>0</v>
      </c>
      <c r="I74" s="15">
        <f>Неделя!K74</f>
        <v>0</v>
      </c>
    </row>
    <row r="75" spans="2:9" hidden="1">
      <c r="B75" s="15" t="str">
        <f>Неделя!A75</f>
        <v>Ресторан СОЛО Куйбышева</v>
      </c>
      <c r="C75" s="15">
        <f>Неделя!B75</f>
        <v>1.2569999999999999</v>
      </c>
      <c r="D75" s="15">
        <f>Неделя!C75</f>
        <v>0</v>
      </c>
      <c r="E75" s="15">
        <f>Неделя!D75</f>
        <v>1</v>
      </c>
      <c r="F75" s="15">
        <f>Неделя!E75</f>
        <v>0</v>
      </c>
      <c r="G75" s="15">
        <f>Неделя!F75</f>
        <v>0</v>
      </c>
      <c r="H75" s="15">
        <f>Неделя!G75</f>
        <v>0</v>
      </c>
      <c r="I75" s="15">
        <f>Неделя!K75</f>
        <v>0</v>
      </c>
    </row>
    <row r="76" spans="2:9" hidden="1">
      <c r="B76" s="15" t="str">
        <f>Неделя!A76</f>
        <v>Теле2 гоголя-150 резаный</v>
      </c>
      <c r="C76" s="15">
        <f>Неделя!B76</f>
        <v>1.2749999999999999</v>
      </c>
      <c r="D76" s="15">
        <f>Неделя!C76</f>
        <v>0</v>
      </c>
      <c r="E76" s="15">
        <f>Неделя!D76</f>
        <v>1</v>
      </c>
      <c r="F76" s="15">
        <f>Неделя!E76</f>
        <v>0</v>
      </c>
      <c r="G76" s="15">
        <f>Неделя!F76</f>
        <v>0</v>
      </c>
      <c r="H76" s="15">
        <f>Неделя!G76</f>
        <v>0</v>
      </c>
      <c r="I76" s="15">
        <f>Неделя!K76</f>
        <v>0</v>
      </c>
    </row>
    <row r="77" spans="2:9" hidden="1">
      <c r="B77" s="15" t="str">
        <f>Неделя!A77</f>
        <v>Томография К. маркса</v>
      </c>
      <c r="C77" s="15">
        <f>Неделя!B77</f>
        <v>1.2749999999999999</v>
      </c>
      <c r="D77" s="15">
        <f>Неделя!C77</f>
        <v>0</v>
      </c>
      <c r="E77" s="15">
        <f>Неделя!D77</f>
        <v>1</v>
      </c>
      <c r="F77" s="15">
        <f>Неделя!E77</f>
        <v>0</v>
      </c>
      <c r="G77" s="15">
        <f>Неделя!F77</f>
        <v>0</v>
      </c>
      <c r="H77" s="15">
        <f>Неделя!G77</f>
        <v>0</v>
      </c>
      <c r="I77" s="15">
        <f>Неделя!K77</f>
        <v>0</v>
      </c>
    </row>
    <row r="78" spans="2:9" hidden="1">
      <c r="B78" s="15" t="str">
        <f>Неделя!A78</f>
        <v>Фикс прайс к.мяготина 180*2</v>
      </c>
      <c r="C78" s="15">
        <f>Неделя!B78</f>
        <v>4.1399999999999997</v>
      </c>
      <c r="D78" s="15">
        <f>Неделя!C78</f>
        <v>2</v>
      </c>
      <c r="E78" s="15">
        <f>Неделя!D78</f>
        <v>0</v>
      </c>
      <c r="F78" s="15">
        <f>Неделя!E78</f>
        <v>0</v>
      </c>
      <c r="G78" s="15">
        <f>Неделя!F78</f>
        <v>0</v>
      </c>
      <c r="H78" s="15">
        <f>Неделя!G78</f>
        <v>0</v>
      </c>
      <c r="I78" s="15">
        <f>Неделя!K78</f>
        <v>0</v>
      </c>
    </row>
    <row r="79" spans="2:9" hidden="1">
      <c r="B79" s="15">
        <f>Неделя!A79</f>
        <v>0</v>
      </c>
      <c r="C79" s="15">
        <f>Неделя!B79</f>
        <v>0</v>
      </c>
      <c r="D79" s="15">
        <f>Неделя!C79</f>
        <v>0</v>
      </c>
      <c r="E79" s="15">
        <f>Неделя!D79</f>
        <v>0</v>
      </c>
      <c r="F79" s="15">
        <f>Неделя!E79</f>
        <v>0</v>
      </c>
      <c r="G79" s="15">
        <f>Неделя!F79</f>
        <v>0</v>
      </c>
      <c r="H79" s="15">
        <f>Неделя!G79</f>
        <v>0</v>
      </c>
      <c r="I79" s="15">
        <f>Неделя!K79</f>
        <v>0</v>
      </c>
    </row>
    <row r="80" spans="2:9" hidden="1">
      <c r="B80" s="15" t="str">
        <f>Неделя!A80</f>
        <v>Фикс советска40-2х180</v>
      </c>
      <c r="C80" s="15">
        <f>Неделя!B80</f>
        <v>4.1399999999999997</v>
      </c>
      <c r="D80" s="15">
        <f>Неделя!C80</f>
        <v>2</v>
      </c>
      <c r="E80" s="15">
        <f>Неделя!D80</f>
        <v>0</v>
      </c>
      <c r="F80" s="15">
        <f>Неделя!E80</f>
        <v>0</v>
      </c>
      <c r="G80" s="15">
        <f>Неделя!F80</f>
        <v>0</v>
      </c>
      <c r="H80" s="15">
        <f>Неделя!G80</f>
        <v>0</v>
      </c>
      <c r="I80" s="15">
        <f>Неделя!K80</f>
        <v>0</v>
      </c>
    </row>
    <row r="81" spans="2:9">
      <c r="B81" s="15" t="str">
        <f>Неделя!A81</f>
        <v>Чистый квартал 150, 80х80</v>
      </c>
      <c r="C81" s="15">
        <f>Неделя!B81</f>
        <v>2.5499999999999998</v>
      </c>
      <c r="D81" s="15">
        <f>Неделя!C81</f>
        <v>0</v>
      </c>
      <c r="E81" s="15">
        <f>Неделя!D81</f>
        <v>1</v>
      </c>
      <c r="F81" s="15">
        <f>Неделя!E81</f>
        <v>1</v>
      </c>
      <c r="G81" s="15">
        <f>Неделя!F81</f>
        <v>0</v>
      </c>
      <c r="H81" s="15">
        <f>Неделя!G81</f>
        <v>0</v>
      </c>
      <c r="I81" s="15">
        <f>Неделя!K81</f>
        <v>1</v>
      </c>
    </row>
    <row r="82" spans="2:9" hidden="1">
      <c r="B82" s="15" t="str">
        <f>Неделя!A82</f>
        <v>Япоки гоголя-180</v>
      </c>
      <c r="C82" s="15">
        <f>Неделя!B82</f>
        <v>2.0699999999999998</v>
      </c>
      <c r="D82" s="15">
        <f>Неделя!C82</f>
        <v>1</v>
      </c>
      <c r="E82" s="15">
        <f>Неделя!D82</f>
        <v>0</v>
      </c>
      <c r="F82" s="15">
        <f>Неделя!E82</f>
        <v>0</v>
      </c>
      <c r="G82" s="15">
        <f>Неделя!F82</f>
        <v>0</v>
      </c>
      <c r="H82" s="15">
        <f>Неделя!G82</f>
        <v>0</v>
      </c>
      <c r="I82" s="15">
        <f>Неделя!K82</f>
        <v>0</v>
      </c>
    </row>
    <row r="83" spans="2:9" hidden="1">
      <c r="B83" s="15" t="str">
        <f>Неделя!A83</f>
        <v>4 сезона ленина-180</v>
      </c>
      <c r="C83" s="15">
        <f>Неделя!B83</f>
        <v>2.0699999999999998</v>
      </c>
      <c r="D83" s="15">
        <f>Неделя!C83</f>
        <v>1</v>
      </c>
      <c r="E83" s="15">
        <f>Неделя!D83</f>
        <v>0</v>
      </c>
      <c r="F83" s="15">
        <f>Неделя!E83</f>
        <v>0</v>
      </c>
      <c r="G83" s="15">
        <f>Неделя!F83</f>
        <v>0</v>
      </c>
      <c r="H83" s="15">
        <f>Неделя!G83</f>
        <v>0</v>
      </c>
      <c r="I83" s="15">
        <f>Неделя!K83</f>
        <v>0</v>
      </c>
    </row>
    <row r="84" spans="2:9" hidden="1">
      <c r="B84" s="15" t="str">
        <f>Неделя!A84</f>
        <v>Александрит 150 рез </v>
      </c>
      <c r="C84" s="15">
        <f>Неделя!B84</f>
        <v>1.2749999999999999</v>
      </c>
      <c r="D84" s="15">
        <f>Неделя!C84</f>
        <v>0</v>
      </c>
      <c r="E84" s="15">
        <f>Неделя!D84</f>
        <v>1</v>
      </c>
      <c r="F84" s="15">
        <f>Неделя!E84</f>
        <v>0</v>
      </c>
      <c r="G84" s="15">
        <f>Неделя!F84</f>
        <v>0</v>
      </c>
      <c r="H84" s="15">
        <f>Неделя!G84</f>
        <v>0</v>
      </c>
      <c r="I84" s="15">
        <f>Неделя!K84</f>
        <v>0</v>
      </c>
    </row>
    <row r="85" spans="2:9" hidden="1">
      <c r="B85" s="15" t="str">
        <f>Неделя!A85</f>
        <v>Алеф-банк 150 НОЯБРЬ </v>
      </c>
      <c r="C85" s="15">
        <f>Неделя!B85</f>
        <v>1.2749999999999999</v>
      </c>
      <c r="D85" s="15">
        <f>Неделя!C85</f>
        <v>0</v>
      </c>
      <c r="E85" s="15">
        <f>Неделя!D85</f>
        <v>1</v>
      </c>
      <c r="F85" s="15">
        <f>Неделя!E85</f>
        <v>0</v>
      </c>
      <c r="G85" s="15">
        <f>Неделя!F85</f>
        <v>0</v>
      </c>
      <c r="H85" s="15">
        <f>Неделя!G85</f>
        <v>0</v>
      </c>
      <c r="I85" s="15">
        <f>Неделя!K85</f>
        <v>0</v>
      </c>
    </row>
    <row r="86" spans="2:9">
      <c r="B86" s="15" t="str">
        <f>Неделя!A117</f>
        <v>Неил хаус 150 новый</v>
      </c>
      <c r="C86" s="15">
        <f>Неделя!B117</f>
        <v>1.2749999999999999</v>
      </c>
      <c r="D86" s="15">
        <f>Неделя!C117</f>
        <v>0</v>
      </c>
      <c r="E86" s="15">
        <f>Неделя!D117</f>
        <v>1</v>
      </c>
      <c r="F86" s="15">
        <f>Неделя!E117</f>
        <v>0</v>
      </c>
      <c r="G86" s="15">
        <f>Неделя!F117</f>
        <v>0</v>
      </c>
      <c r="H86" s="15">
        <f>Неделя!G117</f>
        <v>0</v>
      </c>
      <c r="I86" s="15">
        <f>Неделя!K117</f>
        <v>1</v>
      </c>
    </row>
    <row r="87" spans="2:9" hidden="1">
      <c r="B87" s="15" t="str">
        <f>Неделя!A87</f>
        <v>Аптека советская ленина 150</v>
      </c>
      <c r="C87" s="15">
        <f>Неделя!B87</f>
        <v>1.2749999999999999</v>
      </c>
      <c r="D87" s="15">
        <f>Неделя!C87</f>
        <v>0</v>
      </c>
      <c r="E87" s="15">
        <f>Неделя!D87</f>
        <v>1</v>
      </c>
      <c r="F87" s="15">
        <f>Неделя!E87</f>
        <v>0</v>
      </c>
      <c r="G87" s="15">
        <f>Неделя!F87</f>
        <v>0</v>
      </c>
      <c r="H87" s="15">
        <f>Неделя!G87</f>
        <v>0</v>
      </c>
      <c r="I87" s="15">
        <f>Неделя!K87</f>
        <v>0</v>
      </c>
    </row>
    <row r="88" spans="2:9" hidden="1">
      <c r="B88" s="15" t="str">
        <f>Неделя!A88</f>
        <v>Баден Ленина-200 старый</v>
      </c>
      <c r="C88" s="15">
        <f>Неделя!B88</f>
        <v>2.0699999999999998</v>
      </c>
      <c r="D88" s="15">
        <f>Неделя!C88</f>
        <v>1</v>
      </c>
      <c r="E88" s="15">
        <f>Неделя!D88</f>
        <v>0</v>
      </c>
      <c r="F88" s="15">
        <f>Неделя!E88</f>
        <v>0</v>
      </c>
      <c r="G88" s="15">
        <f>Неделя!F88</f>
        <v>0</v>
      </c>
      <c r="H88" s="15">
        <f>Неделя!G88</f>
        <v>0</v>
      </c>
      <c r="I88" s="15">
        <f>Неделя!K88</f>
        <v>0</v>
      </c>
    </row>
    <row r="89" spans="2:9" hidden="1">
      <c r="B89" s="15">
        <f>Неделя!A119</f>
        <v>0</v>
      </c>
      <c r="C89" s="15">
        <f>Неделя!B119</f>
        <v>0</v>
      </c>
      <c r="D89" s="15">
        <f>Неделя!C119</f>
        <v>0</v>
      </c>
      <c r="E89" s="15">
        <f>Неделя!D119</f>
        <v>0</v>
      </c>
      <c r="F89" s="15">
        <f>Неделя!E119</f>
        <v>0</v>
      </c>
      <c r="G89" s="15">
        <f>Неделя!F119</f>
        <v>0</v>
      </c>
      <c r="H89" s="15">
        <f>Неделя!G119</f>
        <v>0</v>
      </c>
      <c r="I89" s="15">
        <f>Неделя!K119</f>
        <v>0</v>
      </c>
    </row>
    <row r="90" spans="2:9" hidden="1">
      <c r="B90" s="15" t="str">
        <f>Неделя!A90</f>
        <v>Банк курган Гоголя 180 </v>
      </c>
      <c r="C90" s="15">
        <f>Неделя!B90</f>
        <v>2.0699999999999998</v>
      </c>
      <c r="D90" s="15">
        <f>Неделя!C90</f>
        <v>1</v>
      </c>
      <c r="E90" s="15">
        <f>Неделя!D90</f>
        <v>0</v>
      </c>
      <c r="F90" s="15">
        <f>Неделя!E90</f>
        <v>0</v>
      </c>
      <c r="G90" s="15">
        <f>Неделя!F90</f>
        <v>0</v>
      </c>
      <c r="H90" s="15">
        <f>Неделя!G90</f>
        <v>0</v>
      </c>
      <c r="I90" s="15">
        <f>Неделя!K90</f>
        <v>0</v>
      </c>
    </row>
    <row r="91" spans="2:9" hidden="1">
      <c r="B91" s="15" t="str">
        <f>Неделя!A91</f>
        <v>Банк курган площадь 150 сер. 1шт. </v>
      </c>
      <c r="C91" s="15">
        <f>Неделя!B91</f>
        <v>1.2749999999999999</v>
      </c>
      <c r="D91" s="15">
        <f>Неделя!C91</f>
        <v>0</v>
      </c>
      <c r="E91" s="15">
        <f>Неделя!D91</f>
        <v>1</v>
      </c>
      <c r="F91" s="15">
        <f>Неделя!E91</f>
        <v>0</v>
      </c>
      <c r="G91" s="15">
        <f>Неделя!F91</f>
        <v>0</v>
      </c>
      <c r="H91" s="15">
        <f>Неделя!G91</f>
        <v>0</v>
      </c>
      <c r="I91" s="15">
        <f>Неделя!K91</f>
        <v>0</v>
      </c>
    </row>
    <row r="92" spans="2:9" hidden="1">
      <c r="B92" s="15" t="str">
        <f>Неделя!A92</f>
        <v>Банк России 150   2шт</v>
      </c>
      <c r="C92" s="15">
        <f>Неделя!B92</f>
        <v>2.5499999999999998</v>
      </c>
      <c r="D92" s="15">
        <f>Неделя!C92</f>
        <v>0</v>
      </c>
      <c r="E92" s="15">
        <f>Неделя!D92</f>
        <v>0</v>
      </c>
      <c r="F92" s="15">
        <f>Неделя!E92</f>
        <v>0</v>
      </c>
      <c r="G92" s="15">
        <f>Неделя!F92</f>
        <v>1</v>
      </c>
      <c r="H92" s="15">
        <f>Неделя!G92</f>
        <v>0</v>
      </c>
      <c r="I92" s="15">
        <f>Неделя!K92</f>
        <v>0</v>
      </c>
    </row>
    <row r="93" spans="2:9" hidden="1">
      <c r="B93" s="15" t="str">
        <f>Неделя!A93</f>
        <v>Бенетон 150</v>
      </c>
      <c r="C93" s="15">
        <f>Неделя!B93</f>
        <v>1.2749999999999999</v>
      </c>
      <c r="D93" s="15">
        <f>Неделя!C93</f>
        <v>0</v>
      </c>
      <c r="E93" s="15">
        <f>Неделя!D93</f>
        <v>1</v>
      </c>
      <c r="F93" s="15">
        <f>Неделя!E93</f>
        <v>0</v>
      </c>
      <c r="G93" s="15">
        <f>Неделя!F93</f>
        <v>0</v>
      </c>
      <c r="H93" s="15">
        <f>Неделя!G93</f>
        <v>0</v>
      </c>
      <c r="I93" s="15">
        <f>Неделя!K93</f>
        <v>0</v>
      </c>
    </row>
    <row r="94" spans="2:9">
      <c r="B94" s="15" t="str">
        <f>Неделя!A121</f>
        <v>Отель сервис, ресторан 180х3</v>
      </c>
      <c r="C94" s="15">
        <f>Неделя!B121</f>
        <v>6.2099999999999991</v>
      </c>
      <c r="D94" s="15">
        <f>Неделя!C121</f>
        <v>3</v>
      </c>
      <c r="E94" s="15">
        <f>Неделя!D121</f>
        <v>0</v>
      </c>
      <c r="F94" s="15">
        <f>Неделя!E121</f>
        <v>0</v>
      </c>
      <c r="G94" s="15">
        <f>Неделя!F121</f>
        <v>0</v>
      </c>
      <c r="H94" s="15">
        <f>Неделя!G121</f>
        <v>0</v>
      </c>
      <c r="I94" s="15">
        <f>Неделя!K121</f>
        <v>1</v>
      </c>
    </row>
    <row r="95" spans="2:9" hidden="1">
      <c r="B95" s="15" t="str">
        <f>Неделя!A95</f>
        <v>Газпроммежрегионгаз Гоголя 98   1x150</v>
      </c>
      <c r="C95" s="15">
        <f>Неделя!B95</f>
        <v>1.2749999999999999</v>
      </c>
      <c r="D95" s="15">
        <f>Неделя!C95</f>
        <v>0</v>
      </c>
      <c r="E95" s="15">
        <f>Неделя!D95</f>
        <v>0</v>
      </c>
      <c r="F95" s="15">
        <f>Неделя!E95</f>
        <v>0</v>
      </c>
      <c r="G95" s="15">
        <f>Неделя!F95</f>
        <v>0</v>
      </c>
      <c r="H95" s="15">
        <f>Неделя!G95</f>
        <v>0</v>
      </c>
      <c r="I95" s="15">
        <f>Неделя!K95</f>
        <v>0</v>
      </c>
    </row>
    <row r="96" spans="2:9" hidden="1">
      <c r="B96" s="15" t="str">
        <f>Неделя!A96</f>
        <v>газпроммежрегионгаз- 5х150</v>
      </c>
      <c r="C96" s="15">
        <f>Неделя!B96</f>
        <v>6.375</v>
      </c>
      <c r="D96" s="15">
        <f>Неделя!C96</f>
        <v>0</v>
      </c>
      <c r="E96" s="15">
        <f>Неделя!D96</f>
        <v>0</v>
      </c>
      <c r="F96" s="15">
        <f>Неделя!E96</f>
        <v>0</v>
      </c>
      <c r="G96" s="15">
        <f>Неделя!F96</f>
        <v>0</v>
      </c>
      <c r="H96" s="15">
        <f>Неделя!G96</f>
        <v>0</v>
      </c>
      <c r="I96" s="15">
        <f>Неделя!K96</f>
        <v>0</v>
      </c>
    </row>
    <row r="97" spans="2:9">
      <c r="B97" s="15" t="str">
        <f>Неделя!A26</f>
        <v>Пальмира гоголя 150</v>
      </c>
      <c r="C97" s="15">
        <f>Неделя!B26</f>
        <v>1.2749999999999999</v>
      </c>
      <c r="D97" s="15">
        <f>Неделя!C26</f>
        <v>0</v>
      </c>
      <c r="E97" s="15">
        <f>Неделя!D26</f>
        <v>1</v>
      </c>
      <c r="F97" s="15">
        <f>Неделя!E26</f>
        <v>0</v>
      </c>
      <c r="G97" s="15">
        <f>Неделя!F26</f>
        <v>0</v>
      </c>
      <c r="H97" s="15">
        <f>Неделя!G26</f>
        <v>0</v>
      </c>
      <c r="I97" s="15">
        <f>Неделя!K26</f>
        <v>1</v>
      </c>
    </row>
    <row r="98" spans="2:9" hidden="1">
      <c r="B98" s="15" t="str">
        <f>Неделя!A98</f>
        <v>Джулия пролетарская  200 хороший</v>
      </c>
      <c r="C98" s="15">
        <f>Неделя!B98</f>
        <v>2.0699999999999998</v>
      </c>
      <c r="D98" s="15">
        <f>Неделя!C98</f>
        <v>1</v>
      </c>
      <c r="E98" s="15">
        <f>Неделя!D98</f>
        <v>0</v>
      </c>
      <c r="F98" s="15">
        <f>Неделя!E98</f>
        <v>0</v>
      </c>
      <c r="G98" s="15">
        <f>Неделя!F98</f>
        <v>0</v>
      </c>
      <c r="H98" s="15">
        <f>Неделя!G98</f>
        <v>0</v>
      </c>
      <c r="I98" s="15">
        <f>Неделя!K98</f>
        <v>0</v>
      </c>
    </row>
    <row r="99" spans="2:9" hidden="1">
      <c r="B99" s="15" t="str">
        <f>Неделя!A99</f>
        <v>Джулия советская 180 </v>
      </c>
      <c r="C99" s="15">
        <f>Неделя!B99</f>
        <v>2.0699999999999998</v>
      </c>
      <c r="D99" s="15">
        <f>Неделя!C99</f>
        <v>1</v>
      </c>
      <c r="E99" s="15">
        <f>Неделя!D99</f>
        <v>0</v>
      </c>
      <c r="F99" s="15">
        <f>Неделя!E99</f>
        <v>0</v>
      </c>
      <c r="G99" s="15">
        <f>Неделя!F99</f>
        <v>0</v>
      </c>
      <c r="H99" s="15">
        <f>Неделя!G99</f>
        <v>0</v>
      </c>
      <c r="I99" s="15">
        <f>Неделя!K99</f>
        <v>0</v>
      </c>
    </row>
    <row r="100" spans="2:9">
      <c r="B100" s="15" t="str">
        <f>Неделя!A27</f>
        <v>пальмира юбилейный-180 НОВЫЙ</v>
      </c>
      <c r="C100" s="15">
        <f>Неделя!B27</f>
        <v>2.0699999999999998</v>
      </c>
      <c r="D100" s="15">
        <f>Неделя!C27</f>
        <v>1</v>
      </c>
      <c r="E100" s="15">
        <f>Неделя!D27</f>
        <v>0</v>
      </c>
      <c r="F100" s="15">
        <f>Неделя!E27</f>
        <v>0</v>
      </c>
      <c r="G100" s="15">
        <f>Неделя!F27</f>
        <v>0</v>
      </c>
      <c r="H100" s="15">
        <f>Неделя!G27</f>
        <v>0</v>
      </c>
      <c r="I100" s="15">
        <f>Неделя!K27</f>
        <v>1</v>
      </c>
    </row>
    <row r="101" spans="2:9" hidden="1">
      <c r="B101" s="15" t="str">
        <f>Неделя!A101</f>
        <v>Ик надежда 150</v>
      </c>
      <c r="C101" s="15">
        <f>Неделя!B101</f>
        <v>1.2749999999999999</v>
      </c>
      <c r="D101" s="15">
        <f>Неделя!C101</f>
        <v>0</v>
      </c>
      <c r="E101" s="15">
        <f>Неделя!D101</f>
        <v>1</v>
      </c>
      <c r="F101" s="15">
        <f>Неделя!E101</f>
        <v>0</v>
      </c>
      <c r="G101" s="15">
        <f>Неделя!F101</f>
        <v>0</v>
      </c>
      <c r="H101" s="15">
        <f>Неделя!G101</f>
        <v>0</v>
      </c>
      <c r="I101" s="15">
        <f>Неделя!K101</f>
        <v>0</v>
      </c>
    </row>
    <row r="102" spans="2:9" hidden="1">
      <c r="B102" s="15" t="str">
        <f>Неделя!A102</f>
        <v>Инвитро пушкина 189-2х150</v>
      </c>
      <c r="C102" s="15">
        <f>Неделя!B102</f>
        <v>1.2749999999999999</v>
      </c>
      <c r="D102" s="15">
        <f>Неделя!C102</f>
        <v>0</v>
      </c>
      <c r="E102" s="15">
        <f>Неделя!D102</f>
        <v>2</v>
      </c>
      <c r="F102" s="15">
        <f>Неделя!E102</f>
        <v>0</v>
      </c>
      <c r="G102" s="15">
        <f>Неделя!F102</f>
        <v>0</v>
      </c>
      <c r="H102" s="15">
        <f>Неделя!G102</f>
        <v>0</v>
      </c>
      <c r="I102" s="15">
        <f>Неделя!K102</f>
        <v>0</v>
      </c>
    </row>
    <row r="103" spans="2:9" hidden="1">
      <c r="B103" s="15" t="str">
        <f>Неделя!A103</f>
        <v>Инвитро юбилейный 180</v>
      </c>
      <c r="C103" s="15">
        <f>Неделя!B103</f>
        <v>2.0699999999999998</v>
      </c>
      <c r="D103" s="15">
        <f>Неделя!C103</f>
        <v>1</v>
      </c>
      <c r="E103" s="15">
        <f>Неделя!D103</f>
        <v>0</v>
      </c>
      <c r="F103" s="15">
        <f>Неделя!E103</f>
        <v>0</v>
      </c>
      <c r="G103" s="15">
        <f>Неделя!F103</f>
        <v>0</v>
      </c>
      <c r="H103" s="15">
        <f>Неделя!G103</f>
        <v>0</v>
      </c>
      <c r="I103" s="15">
        <f>Неделя!K103</f>
        <v>0</v>
      </c>
    </row>
    <row r="104" spans="2:9" hidden="1">
      <c r="B104" s="15" t="str">
        <f>Неделя!A104</f>
        <v>Ингострах 2х150</v>
      </c>
      <c r="C104" s="15">
        <f>Неделя!B104</f>
        <v>2.5499999999999998</v>
      </c>
      <c r="D104" s="15">
        <f>Неделя!C104</f>
        <v>0</v>
      </c>
      <c r="E104" s="15">
        <f>Неделя!D104</f>
        <v>2</v>
      </c>
      <c r="F104" s="15">
        <f>Неделя!E104</f>
        <v>0</v>
      </c>
      <c r="G104" s="15">
        <f>Неделя!F104</f>
        <v>0</v>
      </c>
      <c r="H104" s="15">
        <f>Неделя!G104</f>
        <v>0</v>
      </c>
      <c r="I104" s="15">
        <f>Неделя!K104</f>
        <v>0</v>
      </c>
    </row>
    <row r="105" spans="2:9" hidden="1">
      <c r="B105" s="15" t="str">
        <f>Неделя!A105</f>
        <v>Календарь подарков ленина-180</v>
      </c>
      <c r="C105" s="15">
        <f>Неделя!B105</f>
        <v>2.0699999999999998</v>
      </c>
      <c r="D105" s="15">
        <f>Неделя!C105</f>
        <v>1</v>
      </c>
      <c r="E105" s="15">
        <f>Неделя!D105</f>
        <v>0</v>
      </c>
      <c r="F105" s="15">
        <f>Неделя!E105</f>
        <v>0</v>
      </c>
      <c r="G105" s="15">
        <f>Неделя!F105</f>
        <v>0</v>
      </c>
      <c r="H105" s="15">
        <f>Неделя!G105</f>
        <v>0</v>
      </c>
      <c r="I105" s="15">
        <f>Неделя!K105</f>
        <v>0</v>
      </c>
    </row>
    <row r="106" spans="2:9">
      <c r="B106" s="15" t="str">
        <f>Неделя!A127</f>
        <v>Платинум володарская150 сер. 1 шт.</v>
      </c>
      <c r="C106" s="15">
        <f>Неделя!B127</f>
        <v>1.2749999999999999</v>
      </c>
      <c r="D106" s="15">
        <f>Неделя!C127</f>
        <v>0</v>
      </c>
      <c r="E106" s="15">
        <f>Неделя!D127</f>
        <v>1</v>
      </c>
      <c r="F106" s="15">
        <f>Неделя!E127</f>
        <v>0</v>
      </c>
      <c r="G106" s="15">
        <f>Неделя!F127</f>
        <v>0</v>
      </c>
      <c r="H106" s="15">
        <f>Неделя!G127</f>
        <v>0</v>
      </c>
      <c r="I106" s="15">
        <f>Неделя!K127</f>
        <v>1</v>
      </c>
    </row>
    <row r="107" spans="2:9" hidden="1">
      <c r="B107" s="15" t="str">
        <f>Неделя!A107</f>
        <v>Карэ гараж К.Маркса 60а    150</v>
      </c>
      <c r="C107" s="15">
        <f>Неделя!B107</f>
        <v>1.2749999999999999</v>
      </c>
      <c r="D107" s="15">
        <f>Неделя!C107</f>
        <v>0</v>
      </c>
      <c r="E107" s="15">
        <f>Неделя!D107</f>
        <v>1</v>
      </c>
      <c r="F107" s="15">
        <f>Неделя!E107</f>
        <v>0</v>
      </c>
      <c r="G107" s="15">
        <f>Неделя!F107</f>
        <v>0</v>
      </c>
      <c r="H107" s="15">
        <f>Неделя!G107</f>
        <v>0</v>
      </c>
      <c r="I107" s="15">
        <f>Неделя!K107</f>
        <v>0</v>
      </c>
    </row>
    <row r="108" spans="2:9" hidden="1">
      <c r="B108" s="15" t="str">
        <f>Неделя!A108</f>
        <v>Карэ гоголя 37 150 нов. кор. </v>
      </c>
      <c r="C108" s="15">
        <f>Неделя!B108</f>
        <v>1.2749999999999999</v>
      </c>
      <c r="D108" s="15">
        <f>Неделя!C108</f>
        <v>0</v>
      </c>
      <c r="E108" s="15">
        <f>Неделя!D108</f>
        <v>1</v>
      </c>
      <c r="F108" s="15">
        <f>Неделя!E108</f>
        <v>0</v>
      </c>
      <c r="G108" s="15">
        <f>Неделя!F108</f>
        <v>0</v>
      </c>
      <c r="H108" s="15">
        <f>Неделя!G108</f>
        <v>0</v>
      </c>
      <c r="I108" s="15">
        <f>Неделя!K108</f>
        <v>0</v>
      </c>
    </row>
    <row r="109" spans="2:9" hidden="1">
      <c r="B109" s="15" t="str">
        <f>Неделя!A109</f>
        <v>Карэ к. Маркса 46 3х150 нов кор</v>
      </c>
      <c r="C109" s="15">
        <f>Неделя!B109</f>
        <v>3.8249999999999997</v>
      </c>
      <c r="D109" s="15">
        <f>Неделя!C109</f>
        <v>0</v>
      </c>
      <c r="E109" s="15">
        <f>Неделя!D109</f>
        <v>3</v>
      </c>
      <c r="F109" s="15">
        <f>Неделя!E109</f>
        <v>0</v>
      </c>
      <c r="G109" s="15">
        <f>Неделя!F109</f>
        <v>0</v>
      </c>
      <c r="H109" s="15">
        <f>Неделя!G109</f>
        <v>0</v>
      </c>
      <c r="I109" s="15">
        <f>Неделя!K109</f>
        <v>0</v>
      </c>
    </row>
    <row r="110" spans="2:9">
      <c r="B110" s="15" t="str">
        <f>Неделя!A28</f>
        <v>прогресс Пролетарская-180, 60x80</v>
      </c>
      <c r="C110" s="15">
        <f>Неделя!B28</f>
        <v>3.3449999999999998</v>
      </c>
      <c r="D110" s="15">
        <f>Неделя!C28</f>
        <v>1</v>
      </c>
      <c r="E110" s="15">
        <f>Неделя!D28</f>
        <v>0</v>
      </c>
      <c r="F110" s="15">
        <f>Неделя!E28</f>
        <v>1</v>
      </c>
      <c r="G110" s="15">
        <f>Неделя!F28</f>
        <v>0</v>
      </c>
      <c r="H110" s="15">
        <f>Неделя!G28</f>
        <v>0</v>
      </c>
      <c r="I110" s="15">
        <f>Неделя!K28</f>
        <v>1</v>
      </c>
    </row>
    <row r="111" spans="2:9" hidden="1">
      <c r="B111" s="15" t="str">
        <f>Неделя!A111</f>
        <v>Комиссоныч юбилейный-150 рез. </v>
      </c>
      <c r="C111" s="15">
        <f>Неделя!B111</f>
        <v>1.2749999999999999</v>
      </c>
      <c r="D111" s="15">
        <f>Неделя!C111</f>
        <v>0</v>
      </c>
      <c r="E111" s="15">
        <f>Неделя!D111</f>
        <v>1</v>
      </c>
      <c r="F111" s="15">
        <f>Неделя!E111</f>
        <v>0</v>
      </c>
      <c r="G111" s="15">
        <f>Неделя!F111</f>
        <v>0</v>
      </c>
      <c r="H111" s="15">
        <f>Неделя!G111</f>
        <v>0</v>
      </c>
      <c r="I111" s="15">
        <f>Неделя!K111</f>
        <v>0</v>
      </c>
    </row>
    <row r="112" spans="2:9" hidden="1">
      <c r="B112" s="15" t="str">
        <f>Неделя!A112</f>
        <v>Консультант + васильева 7 240старый </v>
      </c>
      <c r="C112" s="15">
        <f>Неделя!B112</f>
        <v>2.7</v>
      </c>
      <c r="D112" s="15">
        <f>Неделя!C112</f>
        <v>1</v>
      </c>
      <c r="E112" s="15">
        <f>Неделя!D112</f>
        <v>0</v>
      </c>
      <c r="F112" s="15">
        <f>Неделя!E112</f>
        <v>0</v>
      </c>
      <c r="G112" s="15">
        <f>Неделя!F112</f>
        <v>0</v>
      </c>
      <c r="H112" s="15">
        <f>Неделя!G112</f>
        <v>0</v>
      </c>
      <c r="I112" s="15">
        <f>Неделя!K112</f>
        <v>0</v>
      </c>
    </row>
    <row r="113" spans="2:9">
      <c r="B113" s="15" t="str">
        <f>Неделя!A29</f>
        <v>прогресс советская 180, 150 новые</v>
      </c>
      <c r="C113" s="15">
        <f>Неделя!B29</f>
        <v>3.3449999999999998</v>
      </c>
      <c r="D113" s="15">
        <f>Неделя!C29</f>
        <v>1</v>
      </c>
      <c r="E113" s="15">
        <f>Неделя!D29</f>
        <v>1</v>
      </c>
      <c r="F113" s="15">
        <f>Неделя!E29</f>
        <v>0</v>
      </c>
      <c r="G113" s="15">
        <f>Неделя!F29</f>
        <v>0</v>
      </c>
      <c r="H113" s="15">
        <f>Неделя!G29</f>
        <v>0</v>
      </c>
      <c r="I113" s="15">
        <f>Неделя!K29</f>
        <v>1</v>
      </c>
    </row>
    <row r="114" spans="2:9">
      <c r="B114" s="15" t="str">
        <f>Неделя!A131</f>
        <v xml:space="preserve">Пышка </v>
      </c>
      <c r="C114" s="15">
        <f>Неделя!B131</f>
        <v>1.2749999999999999</v>
      </c>
      <c r="D114" s="15">
        <f>Неделя!C131</f>
        <v>0</v>
      </c>
      <c r="E114" s="15">
        <f>Неделя!D131</f>
        <v>1</v>
      </c>
      <c r="F114" s="15">
        <f>Неделя!E131</f>
        <v>0</v>
      </c>
      <c r="G114" s="15">
        <f>Неделя!F131</f>
        <v>0</v>
      </c>
      <c r="H114" s="15">
        <f>Неделя!G131</f>
        <v>0</v>
      </c>
      <c r="I114" s="15">
        <f>Неделя!K131</f>
        <v>1</v>
      </c>
    </row>
    <row r="115" spans="2:9" hidden="1">
      <c r="B115" s="15" t="str">
        <f>Неделя!A115</f>
        <v>Мед центр  космольская 180</v>
      </c>
      <c r="C115" s="15">
        <f>Неделя!B115</f>
        <v>2.0699999999999998</v>
      </c>
      <c r="D115" s="15">
        <f>Неделя!C115</f>
        <v>1</v>
      </c>
      <c r="E115" s="15">
        <f>Неделя!D115</f>
        <v>0</v>
      </c>
      <c r="F115" s="15">
        <f>Неделя!E115</f>
        <v>0</v>
      </c>
      <c r="G115" s="15">
        <f>Неделя!F115</f>
        <v>0</v>
      </c>
      <c r="H115" s="15">
        <f>Неделя!G115</f>
        <v>0</v>
      </c>
      <c r="I115" s="15">
        <f>Неделя!K115</f>
        <v>0</v>
      </c>
    </row>
    <row r="116" spans="2:9" hidden="1">
      <c r="B116" s="15" t="str">
        <f>Неделя!A116</f>
        <v>Мисс т 150 сер, нов. 1шт.</v>
      </c>
      <c r="C116" s="15">
        <f>Неделя!B116</f>
        <v>1.2749999999999999</v>
      </c>
      <c r="D116" s="15">
        <f>Неделя!C116</f>
        <v>0</v>
      </c>
      <c r="E116" s="15">
        <f>Неделя!D116</f>
        <v>1</v>
      </c>
      <c r="F116" s="15">
        <f>Неделя!E116</f>
        <v>0</v>
      </c>
      <c r="G116" s="15">
        <f>Неделя!F116</f>
        <v>0</v>
      </c>
      <c r="H116" s="15">
        <f>Неделя!G116</f>
        <v>0</v>
      </c>
      <c r="I116" s="15">
        <f>Неделя!K116</f>
        <v>0</v>
      </c>
    </row>
    <row r="117" spans="2:9">
      <c r="B117" s="15" t="str">
        <f>Неделя!A30</f>
        <v>сбербанк гоголя 98-1 вх 3Х150 коричневые </v>
      </c>
      <c r="C117" s="15">
        <f>Неделя!B30</f>
        <v>3.8249999999999997</v>
      </c>
      <c r="D117" s="15">
        <f>Неделя!C30</f>
        <v>0</v>
      </c>
      <c r="E117" s="15">
        <f>Неделя!D30</f>
        <v>0</v>
      </c>
      <c r="F117" s="15">
        <f>Неделя!E30</f>
        <v>0</v>
      </c>
      <c r="G117" s="15">
        <f>Неделя!F30</f>
        <v>0</v>
      </c>
      <c r="H117" s="15">
        <f>Неделя!G30</f>
        <v>0</v>
      </c>
      <c r="I117" s="15">
        <f>Неделя!K30</f>
        <v>1</v>
      </c>
    </row>
    <row r="118" spans="2:9" hidden="1">
      <c r="B118" s="15" t="str">
        <f>Неделя!A118</f>
        <v>Обувные ленина-3х150 старые </v>
      </c>
      <c r="C118" s="15">
        <f>Неделя!B118</f>
        <v>3.8249999999999997</v>
      </c>
      <c r="D118" s="15">
        <f>Неделя!C118</f>
        <v>0</v>
      </c>
      <c r="E118" s="15">
        <f>Неделя!D118</f>
        <v>3</v>
      </c>
      <c r="F118" s="15">
        <f>Неделя!E118</f>
        <v>0</v>
      </c>
      <c r="G118" s="15">
        <f>Неделя!F118</f>
        <v>0</v>
      </c>
      <c r="H118" s="15">
        <f>Неделя!G118</f>
        <v>0</v>
      </c>
      <c r="I118" s="15">
        <f>Неделя!K118</f>
        <v>0</v>
      </c>
    </row>
    <row r="119" spans="2:9">
      <c r="B119" s="15" t="str">
        <f>Неделя!A31</f>
        <v xml:space="preserve">сбербанк гоголя 98-2ой вход 2х180 </v>
      </c>
      <c r="C119" s="15">
        <f>Неделя!B31</f>
        <v>4.1399999999999997</v>
      </c>
      <c r="D119" s="15">
        <f>Неделя!C31</f>
        <v>0</v>
      </c>
      <c r="E119" s="15">
        <f>Неделя!D31</f>
        <v>0</v>
      </c>
      <c r="F119" s="15">
        <f>Неделя!E31</f>
        <v>0</v>
      </c>
      <c r="G119" s="15">
        <f>Неделя!F31</f>
        <v>0</v>
      </c>
      <c r="H119" s="15">
        <f>Неделя!G31</f>
        <v>0</v>
      </c>
      <c r="I119" s="15">
        <f>Неделя!K31</f>
        <v>1</v>
      </c>
    </row>
    <row r="120" spans="2:9" hidden="1">
      <c r="B120" s="15" t="str">
        <f>Неделя!A120</f>
        <v>Омс 2х180</v>
      </c>
      <c r="C120" s="15">
        <f>Неделя!B120</f>
        <v>4.1399999999999997</v>
      </c>
      <c r="D120" s="15">
        <f>Неделя!C120</f>
        <v>2</v>
      </c>
      <c r="E120" s="15">
        <f>Неделя!D120</f>
        <v>0</v>
      </c>
      <c r="F120" s="15">
        <f>Неделя!E120</f>
        <v>0</v>
      </c>
      <c r="G120" s="15">
        <f>Неделя!F120</f>
        <v>0</v>
      </c>
      <c r="H120" s="15">
        <f>Неделя!G120</f>
        <v>0</v>
      </c>
      <c r="I120" s="15">
        <f>Неделя!K120</f>
        <v>0</v>
      </c>
    </row>
    <row r="121" spans="2:9" hidden="1">
      <c r="B121" s="15">
        <f>Неделя!A135</f>
        <v>0</v>
      </c>
      <c r="C121" s="15">
        <f>Неделя!B135</f>
        <v>0</v>
      </c>
      <c r="D121" s="15">
        <f>Неделя!C135</f>
        <v>0</v>
      </c>
      <c r="E121" s="15">
        <f>Неделя!D135</f>
        <v>0</v>
      </c>
      <c r="F121" s="15">
        <f>Неделя!E135</f>
        <v>0</v>
      </c>
      <c r="G121" s="15">
        <f>Неделя!F135</f>
        <v>0</v>
      </c>
      <c r="H121" s="15">
        <f>Неделя!G135</f>
        <v>0</v>
      </c>
      <c r="I121" s="15">
        <f>Неделя!K135</f>
        <v>0</v>
      </c>
    </row>
    <row r="122" spans="2:9" hidden="1">
      <c r="B122" s="15" t="str">
        <f>Неделя!A122</f>
        <v>Отп ленина-150 резаный </v>
      </c>
      <c r="C122" s="15">
        <f>Неделя!B122</f>
        <v>1.2749999999999999</v>
      </c>
      <c r="D122" s="15">
        <f>Неделя!C122</f>
        <v>0</v>
      </c>
      <c r="E122" s="15">
        <f>Неделя!D122</f>
        <v>1</v>
      </c>
      <c r="F122" s="15">
        <f>Неделя!E122</f>
        <v>0</v>
      </c>
      <c r="G122" s="15">
        <f>Неделя!F122</f>
        <v>0</v>
      </c>
      <c r="H122" s="15">
        <f>Неделя!G122</f>
        <v>0</v>
      </c>
      <c r="I122" s="15">
        <f>Неделя!K122</f>
        <v>0</v>
      </c>
    </row>
    <row r="123" spans="2:9" hidden="1">
      <c r="B123" s="15" t="str">
        <f>Неделя!A123</f>
        <v>Офис центр куйбышева-красина 180,150рез</v>
      </c>
      <c r="C123" s="15">
        <f>Неделя!B123</f>
        <v>3.3449999999999998</v>
      </c>
      <c r="D123" s="15">
        <f>Неделя!C123</f>
        <v>1</v>
      </c>
      <c r="E123" s="15">
        <f>Неделя!D123</f>
        <v>1</v>
      </c>
      <c r="F123" s="15">
        <f>Неделя!E123</f>
        <v>0</v>
      </c>
      <c r="G123" s="15">
        <f>Неделя!F123</f>
        <v>0</v>
      </c>
      <c r="H123" s="15">
        <f>Неделя!G123</f>
        <v>0</v>
      </c>
      <c r="I123" s="15">
        <f>Неделя!K123</f>
        <v>0</v>
      </c>
    </row>
    <row r="124" spans="2:9" hidden="1">
      <c r="B124" s="15" t="str">
        <f>Неделя!A124</f>
        <v>Палаццо Гоголя150 рез</v>
      </c>
      <c r="C124" s="15">
        <f>Неделя!B124</f>
        <v>1.2749999999999999</v>
      </c>
      <c r="D124" s="15">
        <f>Неделя!C124</f>
        <v>0</v>
      </c>
      <c r="E124" s="15">
        <f>Неделя!D124</f>
        <v>1</v>
      </c>
      <c r="F124" s="15">
        <f>Неделя!E124</f>
        <v>0</v>
      </c>
      <c r="G124" s="15">
        <f>Неделя!F124</f>
        <v>0</v>
      </c>
      <c r="H124" s="15">
        <f>Неделя!G124</f>
        <v>0</v>
      </c>
      <c r="I124" s="15">
        <f>Неделя!K124</f>
        <v>0</v>
      </c>
    </row>
    <row r="125" spans="2:9" hidden="1">
      <c r="B125" s="15" t="str">
        <f>Неделя!A125</f>
        <v>Парикмахерская тут бут 2х150 нов</v>
      </c>
      <c r="C125" s="15">
        <f>Неделя!B125</f>
        <v>2.5499999999999998</v>
      </c>
      <c r="D125" s="15">
        <f>Неделя!C125</f>
        <v>0</v>
      </c>
      <c r="E125" s="15">
        <f>Неделя!D125</f>
        <v>2</v>
      </c>
      <c r="F125" s="15">
        <f>Неделя!E125</f>
        <v>0</v>
      </c>
      <c r="G125" s="15">
        <f>Неделя!F125</f>
        <v>0</v>
      </c>
      <c r="H125" s="15">
        <f>Неделя!G125</f>
        <v>0</v>
      </c>
      <c r="I125" s="15">
        <f>Неделя!K125</f>
        <v>0</v>
      </c>
    </row>
    <row r="126" spans="2:9" hidden="1">
      <c r="B126" s="15" t="str">
        <f>Неделя!A126</f>
        <v>Планета обуви ленина- 2х200 старые</v>
      </c>
      <c r="C126" s="15">
        <f>Неделя!B126</f>
        <v>4.1399999999999997</v>
      </c>
      <c r="D126" s="15">
        <f>Неделя!C126</f>
        <v>2</v>
      </c>
      <c r="E126" s="15">
        <f>Неделя!D126</f>
        <v>0</v>
      </c>
      <c r="F126" s="15">
        <f>Неделя!E126</f>
        <v>0</v>
      </c>
      <c r="G126" s="15">
        <f>Неделя!F126</f>
        <v>0</v>
      </c>
      <c r="H126" s="15">
        <f>Неделя!G126</f>
        <v>0</v>
      </c>
      <c r="I126" s="15">
        <f>Неделя!K126</f>
        <v>0</v>
      </c>
    </row>
    <row r="127" spans="2:9">
      <c r="B127" s="15" t="str">
        <f>Неделя!A137</f>
        <v>Скорпион 150 </v>
      </c>
      <c r="C127" s="15">
        <f>Неделя!B137</f>
        <v>1.2749999999999999</v>
      </c>
      <c r="D127" s="15">
        <f>Неделя!C137</f>
        <v>0</v>
      </c>
      <c r="E127" s="15">
        <f>Неделя!D137</f>
        <v>1</v>
      </c>
      <c r="F127" s="15">
        <f>Неделя!E137</f>
        <v>0</v>
      </c>
      <c r="G127" s="15">
        <f>Неделя!F137</f>
        <v>0</v>
      </c>
      <c r="H127" s="15">
        <f>Неделя!G137</f>
        <v>0</v>
      </c>
      <c r="I127" s="15">
        <f>Неделя!K137</f>
        <v>1</v>
      </c>
    </row>
    <row r="128" spans="2:9" hidden="1">
      <c r="B128" s="15" t="str">
        <f>Неделя!A128</f>
        <v>Платон к.Мяготина 180</v>
      </c>
      <c r="C128" s="15">
        <f>Неделя!B128</f>
        <v>2.0699999999999998</v>
      </c>
      <c r="D128" s="15">
        <f>Неделя!C128</f>
        <v>1</v>
      </c>
      <c r="E128" s="15">
        <f>Неделя!D128</f>
        <v>0</v>
      </c>
      <c r="F128" s="15">
        <f>Неделя!E128</f>
        <v>0</v>
      </c>
      <c r="G128" s="15">
        <f>Неделя!F128</f>
        <v>0</v>
      </c>
      <c r="H128" s="15">
        <f>Неделя!G128</f>
        <v>0</v>
      </c>
      <c r="I128" s="15">
        <f>Неделя!K128</f>
        <v>0</v>
      </c>
    </row>
    <row r="129" spans="2:9" hidden="1">
      <c r="B129" s="15" t="str">
        <f>Неделя!A129</f>
        <v>Подиум ленина 180</v>
      </c>
      <c r="C129" s="15">
        <f>Неделя!B129</f>
        <v>2.0699999999999998</v>
      </c>
      <c r="D129" s="15">
        <f>Неделя!C129</f>
        <v>1</v>
      </c>
      <c r="E129" s="15">
        <f>Неделя!D129</f>
        <v>0</v>
      </c>
      <c r="F129" s="15">
        <f>Неделя!E129</f>
        <v>0</v>
      </c>
      <c r="G129" s="15">
        <f>Неделя!F129</f>
        <v>0</v>
      </c>
      <c r="H129" s="15">
        <f>Неделя!G129</f>
        <v>0</v>
      </c>
      <c r="I129" s="15">
        <f>Неделя!K129</f>
        <v>0</v>
      </c>
    </row>
    <row r="130" spans="2:9" hidden="1">
      <c r="B130" s="15" t="str">
        <f>Неделя!A130</f>
        <v>Прайм фитнес клуб 2х150 новые </v>
      </c>
      <c r="C130" s="15">
        <f>Неделя!B130</f>
        <v>2.5499999999999998</v>
      </c>
      <c r="D130" s="15">
        <f>Неделя!C130</f>
        <v>0</v>
      </c>
      <c r="E130" s="15">
        <f>Неделя!D130</f>
        <v>2</v>
      </c>
      <c r="F130" s="15">
        <f>Неделя!E130</f>
        <v>0</v>
      </c>
      <c r="G130" s="15">
        <f>Неделя!F130</f>
        <v>0</v>
      </c>
      <c r="H130" s="15">
        <f>Неделя!G130</f>
        <v>0</v>
      </c>
      <c r="I130" s="15">
        <f>Неделя!K130</f>
        <v>0</v>
      </c>
    </row>
    <row r="131" spans="2:9" hidden="1">
      <c r="B131" s="15">
        <f>Неделя!A138</f>
        <v>0</v>
      </c>
      <c r="C131" s="15">
        <f>Неделя!B138</f>
        <v>0</v>
      </c>
      <c r="D131" s="15">
        <f>Неделя!C138</f>
        <v>0</v>
      </c>
      <c r="E131" s="15">
        <f>Неделя!D138</f>
        <v>0</v>
      </c>
      <c r="F131" s="15">
        <f>Неделя!E138</f>
        <v>0</v>
      </c>
      <c r="G131" s="15">
        <f>Неделя!F138</f>
        <v>0</v>
      </c>
      <c r="H131" s="15">
        <f>Неделя!G138</f>
        <v>0</v>
      </c>
      <c r="I131" s="15">
        <f>Неделя!K138</f>
        <v>0</v>
      </c>
    </row>
    <row r="132" spans="2:9" hidden="1">
      <c r="B132" s="15" t="str">
        <f>Неделя!A132</f>
        <v>Разговоры ЦПКОИ 180</v>
      </c>
      <c r="C132" s="15">
        <f>Неделя!B132</f>
        <v>2.0699999999999998</v>
      </c>
      <c r="D132" s="15">
        <f>Неделя!C132</f>
        <v>1</v>
      </c>
      <c r="E132" s="15">
        <f>Неделя!D132</f>
        <v>0</v>
      </c>
      <c r="F132" s="15">
        <f>Неделя!E132</f>
        <v>0</v>
      </c>
      <c r="G132" s="15">
        <f>Неделя!F132</f>
        <v>0</v>
      </c>
      <c r="H132" s="15">
        <f>Неделя!G132</f>
        <v>0</v>
      </c>
      <c r="I132" s="15">
        <f>Неделя!K132</f>
        <v>0</v>
      </c>
    </row>
    <row r="133" spans="2:9" hidden="1">
      <c r="B133" s="15" t="str">
        <f>Неделя!A133</f>
        <v>Рикер ленина-200 старый </v>
      </c>
      <c r="C133" s="15">
        <f>Неделя!B133</f>
        <v>2.0699999999999998</v>
      </c>
      <c r="D133" s="15">
        <f>Неделя!C133</f>
        <v>1</v>
      </c>
      <c r="E133" s="15">
        <f>Неделя!D133</f>
        <v>0</v>
      </c>
      <c r="F133" s="15">
        <f>Неделя!E133</f>
        <v>0</v>
      </c>
      <c r="G133" s="15">
        <f>Неделя!F133</f>
        <v>0</v>
      </c>
      <c r="H133" s="15">
        <f>Неделя!G133</f>
        <v>0</v>
      </c>
      <c r="I133" s="15">
        <f>Неделя!K133</f>
        <v>0</v>
      </c>
    </row>
    <row r="134" spans="2:9" hidden="1">
      <c r="B134" s="15" t="str">
        <f>Неделя!A134</f>
        <v>Саквояж ленина-180</v>
      </c>
      <c r="C134" s="15">
        <f>Неделя!B134</f>
        <v>2.0699999999999998</v>
      </c>
      <c r="D134" s="15">
        <f>Неделя!C134</f>
        <v>1</v>
      </c>
      <c r="E134" s="15">
        <f>Неделя!D134</f>
        <v>0</v>
      </c>
      <c r="F134" s="15">
        <f>Неделя!E134</f>
        <v>0</v>
      </c>
      <c r="G134" s="15">
        <f>Неделя!F134</f>
        <v>0</v>
      </c>
      <c r="H134" s="15">
        <f>Неделя!G134</f>
        <v>0</v>
      </c>
      <c r="I134" s="15">
        <f>Неделя!K134</f>
        <v>0</v>
      </c>
    </row>
    <row r="135" spans="2:9">
      <c r="B135" s="15" t="str">
        <f>Неделя!A32</f>
        <v>теремок Куйбышева -150 старый</v>
      </c>
      <c r="C135" s="15">
        <f>Неделя!B32</f>
        <v>1.2749999999999999</v>
      </c>
      <c r="D135" s="15">
        <f>Неделя!C32</f>
        <v>0</v>
      </c>
      <c r="E135" s="15">
        <f>Неделя!D32</f>
        <v>1</v>
      </c>
      <c r="F135" s="15">
        <f>Неделя!E32</f>
        <v>0</v>
      </c>
      <c r="G135" s="15">
        <f>Неделя!F32</f>
        <v>0</v>
      </c>
      <c r="H135" s="15">
        <f>Неделя!G32</f>
        <v>0</v>
      </c>
      <c r="I135" s="15">
        <f>Неделя!K32</f>
        <v>1</v>
      </c>
    </row>
    <row r="136" spans="2:9" hidden="1">
      <c r="B136" s="15" t="str">
        <f>Неделя!A136</f>
        <v>Сибирский газовик володарского 65, 150 сер. 3 шт</v>
      </c>
      <c r="C136" s="15">
        <f>Неделя!B136</f>
        <v>3.8249999999999997</v>
      </c>
      <c r="D136" s="15">
        <f>Неделя!C136</f>
        <v>0</v>
      </c>
      <c r="E136" s="15">
        <f>Неделя!D136</f>
        <v>3</v>
      </c>
      <c r="F136" s="15">
        <f>Неделя!E136</f>
        <v>0</v>
      </c>
      <c r="G136" s="15">
        <f>Неделя!F136</f>
        <v>0</v>
      </c>
      <c r="H136" s="15">
        <f>Неделя!G136</f>
        <v>0</v>
      </c>
      <c r="I136" s="15">
        <f>Неделя!K136</f>
        <v>0</v>
      </c>
    </row>
    <row r="137" spans="2:9">
      <c r="B137" s="15" t="str">
        <f>Неделя!A33</f>
        <v>Тп 2х180</v>
      </c>
      <c r="C137" s="15">
        <f>Неделя!B33</f>
        <v>4.1399999999999997</v>
      </c>
      <c r="D137" s="15">
        <f>Неделя!C33</f>
        <v>2</v>
      </c>
      <c r="E137" s="15">
        <f>Неделя!D33</f>
        <v>0</v>
      </c>
      <c r="F137" s="15">
        <f>Неделя!E33</f>
        <v>0</v>
      </c>
      <c r="G137" s="15">
        <f>Неделя!F33</f>
        <v>0</v>
      </c>
      <c r="H137" s="15">
        <f>Неделя!G33</f>
        <v>0</v>
      </c>
      <c r="I137" s="15">
        <f>Неделя!K33</f>
        <v>1</v>
      </c>
    </row>
    <row r="138" spans="2:9">
      <c r="B138" s="15" t="str">
        <f>Неделя!A142</f>
        <v>Триумф 180</v>
      </c>
      <c r="C138" s="15">
        <f>Неделя!B142</f>
        <v>2.0699999999999998</v>
      </c>
      <c r="D138" s="15">
        <f>Неделя!C142</f>
        <v>1</v>
      </c>
      <c r="E138" s="15">
        <f>Неделя!D142</f>
        <v>0</v>
      </c>
      <c r="F138" s="15">
        <f>Неделя!E142</f>
        <v>0</v>
      </c>
      <c r="G138" s="15">
        <f>Неделя!F142</f>
        <v>0</v>
      </c>
      <c r="H138" s="15">
        <f>Неделя!G142</f>
        <v>0</v>
      </c>
      <c r="I138" s="15">
        <f>Неделя!K142</f>
        <v>1</v>
      </c>
    </row>
    <row r="139" spans="2:9" hidden="1">
      <c r="B139" s="15" t="str">
        <f>Неделя!A139</f>
        <v>Совкомбанк Ленина 180</v>
      </c>
      <c r="C139" s="15">
        <f>Неделя!B139</f>
        <v>2.0699999999999998</v>
      </c>
      <c r="D139" s="15">
        <f>Неделя!C139</f>
        <v>1</v>
      </c>
      <c r="E139" s="15">
        <f>Неделя!D139</f>
        <v>0</v>
      </c>
      <c r="F139" s="15">
        <f>Неделя!E139</f>
        <v>0</v>
      </c>
      <c r="G139" s="15">
        <f>Неделя!F139</f>
        <v>0</v>
      </c>
      <c r="H139" s="15">
        <f>Неделя!G139</f>
        <v>0</v>
      </c>
      <c r="I139" s="15">
        <f>Неделя!K139</f>
        <v>0</v>
      </c>
    </row>
    <row r="140" spans="2:9" hidden="1">
      <c r="B140" s="15" t="str">
        <f>Неделя!A140</f>
        <v>совкомбанк гоголя-180 </v>
      </c>
      <c r="C140" s="15">
        <f>Неделя!B140</f>
        <v>2.0699999999999998</v>
      </c>
      <c r="D140" s="15">
        <f>Неделя!C140</f>
        <v>1</v>
      </c>
      <c r="E140" s="15">
        <f>Неделя!D140</f>
        <v>0</v>
      </c>
      <c r="F140" s="15">
        <f>Неделя!E140</f>
        <v>0</v>
      </c>
      <c r="G140" s="15">
        <f>Неделя!F140</f>
        <v>0</v>
      </c>
      <c r="H140" s="15">
        <f>Неделя!G140</f>
        <v>0</v>
      </c>
      <c r="I140" s="15">
        <f>Неделя!K140</f>
        <v>0</v>
      </c>
    </row>
    <row r="141" spans="2:9" hidden="1">
      <c r="B141" s="15" t="str">
        <f>Неделя!A141</f>
        <v>Стиляги площадь серый новый 150+150</v>
      </c>
      <c r="C141" s="15">
        <f>Неделя!B141</f>
        <v>2.5499999999999998</v>
      </c>
      <c r="D141" s="15">
        <f>Неделя!C141</f>
        <v>0</v>
      </c>
      <c r="E141" s="15">
        <f>Неделя!D141</f>
        <v>2</v>
      </c>
      <c r="F141" s="15">
        <f>Неделя!E141</f>
        <v>0</v>
      </c>
      <c r="G141" s="15">
        <f>Неделя!F141</f>
        <v>0</v>
      </c>
      <c r="H141" s="15">
        <f>Неделя!G141</f>
        <v>0</v>
      </c>
      <c r="I141" s="15">
        <f>Неделя!K141</f>
        <v>0</v>
      </c>
    </row>
    <row r="142" spans="2:9" hidden="1">
      <c r="B142" s="15">
        <f>Неделя!A143</f>
        <v>0</v>
      </c>
      <c r="C142" s="15">
        <f>Неделя!B143</f>
        <v>0</v>
      </c>
      <c r="D142" s="15">
        <f>Неделя!C143</f>
        <v>0</v>
      </c>
      <c r="E142" s="15">
        <f>Неделя!D143</f>
        <v>0</v>
      </c>
      <c r="F142" s="15">
        <f>Неделя!E143</f>
        <v>0</v>
      </c>
      <c r="G142" s="15">
        <f>Неделя!F143</f>
        <v>0</v>
      </c>
      <c r="H142" s="15">
        <f>Неделя!G143</f>
        <v>0</v>
      </c>
      <c r="I142" s="15">
        <f>Неделя!K143</f>
        <v>0</v>
      </c>
    </row>
    <row r="143" spans="2:9">
      <c r="B143" s="15" t="str">
        <f>Неделя!A145</f>
        <v>Франческо донни 150 рез. </v>
      </c>
      <c r="C143" s="15">
        <f>Неделя!B145</f>
        <v>1.2749999999999999</v>
      </c>
      <c r="D143" s="15">
        <f>Неделя!C145</f>
        <v>0</v>
      </c>
      <c r="E143" s="15">
        <f>Неделя!D145</f>
        <v>1</v>
      </c>
      <c r="F143" s="15">
        <f>Неделя!E145</f>
        <v>0</v>
      </c>
      <c r="G143" s="15">
        <f>Неделя!F145</f>
        <v>0</v>
      </c>
      <c r="H143" s="15">
        <f>Неделя!G145</f>
        <v>0</v>
      </c>
      <c r="I143" s="15">
        <f>Неделя!K145</f>
        <v>1</v>
      </c>
    </row>
    <row r="144" spans="2:9" hidden="1">
      <c r="B144" s="15" t="str">
        <f>Неделя!A144</f>
        <v>Фам-150</v>
      </c>
      <c r="C144" s="15">
        <f>Неделя!B144</f>
        <v>1.2749999999999999</v>
      </c>
      <c r="D144" s="15">
        <f>Неделя!C144</f>
        <v>0</v>
      </c>
      <c r="E144" s="15">
        <f>Неделя!D144</f>
        <v>1</v>
      </c>
      <c r="F144" s="15">
        <f>Неделя!E144</f>
        <v>0</v>
      </c>
      <c r="G144" s="15">
        <f>Неделя!F144</f>
        <v>0</v>
      </c>
      <c r="H144" s="15">
        <f>Неделя!G144</f>
        <v>0</v>
      </c>
      <c r="I144" s="15">
        <f>Неделя!K144</f>
        <v>0</v>
      </c>
    </row>
    <row r="145" spans="2:9">
      <c r="B145" s="15" t="str">
        <f>Неделя!A34</f>
        <v>Хлеб да мясо 150 резаный хороший </v>
      </c>
      <c r="C145" s="15">
        <f>Неделя!B34</f>
        <v>1.2749999999999999</v>
      </c>
      <c r="D145" s="15">
        <f>Неделя!C34</f>
        <v>0</v>
      </c>
      <c r="E145" s="15">
        <f>Неделя!D34</f>
        <v>1</v>
      </c>
      <c r="F145" s="15">
        <f>Неделя!E34</f>
        <v>0</v>
      </c>
      <c r="G145" s="15">
        <f>Неделя!F34</f>
        <v>0</v>
      </c>
      <c r="H145" s="15">
        <f>Неделя!G34</f>
        <v>0</v>
      </c>
      <c r="I145" s="15">
        <f>Неделя!K34</f>
        <v>1</v>
      </c>
    </row>
    <row r="146" spans="2:9" hidden="1">
      <c r="B146" s="15" t="str">
        <f>Неделя!A146</f>
        <v>чунунок к. Мяготина-1x180</v>
      </c>
      <c r="C146" s="15">
        <f>Неделя!B146</f>
        <v>2.0699999999999998</v>
      </c>
      <c r="D146" s="15">
        <f>Неделя!C146</f>
        <v>1</v>
      </c>
      <c r="E146" s="15">
        <f>Неделя!D146</f>
        <v>0</v>
      </c>
      <c r="F146" s="15">
        <f>Неделя!E146</f>
        <v>0</v>
      </c>
      <c r="G146" s="15">
        <f>Неделя!F146</f>
        <v>0</v>
      </c>
      <c r="H146" s="15">
        <f>Неделя!G146</f>
        <v>0</v>
      </c>
      <c r="I146" s="15">
        <f>Неделя!K146</f>
        <v>0</v>
      </c>
    </row>
    <row r="147" spans="2:9" hidden="1">
      <c r="B147" s="15" t="str">
        <f>Неделя!A147</f>
        <v>Швейный мир 2-60х80</v>
      </c>
      <c r="C147" s="15">
        <f>Неделя!B147</f>
        <v>2.5499999999999998</v>
      </c>
      <c r="D147" s="15">
        <f>Неделя!C147</f>
        <v>0</v>
      </c>
      <c r="E147" s="15">
        <f>Неделя!D147</f>
        <v>0</v>
      </c>
      <c r="F147" s="15">
        <f>Неделя!E147</f>
        <v>2</v>
      </c>
      <c r="G147" s="15">
        <f>Неделя!F147</f>
        <v>0</v>
      </c>
      <c r="H147" s="15">
        <f>Неделя!G147</f>
        <v>0</v>
      </c>
      <c r="I147" s="15">
        <f>Неделя!K147</f>
        <v>0</v>
      </c>
    </row>
    <row r="148" spans="2:9" hidden="1">
      <c r="B148" s="15">
        <f>Неделя!A148</f>
        <v>0</v>
      </c>
      <c r="C148" s="15">
        <f>Неделя!B148</f>
        <v>0</v>
      </c>
      <c r="D148" s="15">
        <f>Неделя!C148</f>
        <v>0</v>
      </c>
      <c r="E148" s="15">
        <f>Неделя!D148</f>
        <v>0</v>
      </c>
      <c r="F148" s="15">
        <f>Неделя!E148</f>
        <v>0</v>
      </c>
      <c r="G148" s="15">
        <f>Неделя!F148</f>
        <v>0</v>
      </c>
      <c r="H148" s="15">
        <f>Неделя!G148</f>
        <v>0</v>
      </c>
      <c r="I148" s="15">
        <f>Неделя!K148</f>
        <v>0</v>
      </c>
    </row>
    <row r="149" spans="2:9" hidden="1">
      <c r="B149" s="15" t="str">
        <f>Неделя!A149</f>
        <v>Эльшуз 150 </v>
      </c>
      <c r="C149" s="15">
        <f>Неделя!B149</f>
        <v>1.2749999999999999</v>
      </c>
      <c r="D149" s="15">
        <f>Неделя!C149</f>
        <v>0</v>
      </c>
      <c r="E149" s="15">
        <f>Неделя!D149</f>
        <v>1</v>
      </c>
      <c r="F149" s="15">
        <f>Неделя!E149</f>
        <v>0</v>
      </c>
      <c r="G149" s="15">
        <f>Неделя!F149</f>
        <v>0</v>
      </c>
      <c r="H149" s="15">
        <f>Неделя!G149</f>
        <v>0</v>
      </c>
      <c r="I149" s="15">
        <f>Неделя!K149</f>
        <v>0</v>
      </c>
    </row>
    <row r="150" spans="2:9">
      <c r="B150" s="15" t="str">
        <f>Неделя!A150</f>
        <v>Япошка Юбилейный 150 резаный</v>
      </c>
      <c r="C150" s="15">
        <f>Неделя!B150</f>
        <v>1.2749999999999999</v>
      </c>
      <c r="D150" s="15">
        <f>Неделя!C150</f>
        <v>0</v>
      </c>
      <c r="E150" s="15">
        <f>Неделя!D150</f>
        <v>1</v>
      </c>
      <c r="F150" s="15">
        <f>Неделя!E150</f>
        <v>0</v>
      </c>
      <c r="G150" s="15">
        <f>Неделя!F150</f>
        <v>0</v>
      </c>
      <c r="H150" s="15">
        <f>Неделя!G150</f>
        <v>0</v>
      </c>
      <c r="I150" s="15">
        <f>Неделя!K150</f>
        <v>1</v>
      </c>
    </row>
    <row r="151" spans="2:9" hidden="1">
      <c r="B151" s="15" t="str">
        <f>Неделя!A151</f>
        <v>Plaza томина 150 ноябрь </v>
      </c>
      <c r="C151" s="15">
        <f>Неделя!B151</f>
        <v>1.2749999999999999</v>
      </c>
      <c r="D151" s="15">
        <f>Неделя!C151</f>
        <v>0</v>
      </c>
      <c r="E151" s="15">
        <f>Неделя!D151</f>
        <v>1</v>
      </c>
      <c r="F151" s="15">
        <f>Неделя!E151</f>
        <v>0</v>
      </c>
      <c r="G151" s="15">
        <f>Неделя!F151</f>
        <v>0</v>
      </c>
      <c r="H151" s="15">
        <f>Неделя!G151</f>
        <v>0</v>
      </c>
      <c r="I151" s="15">
        <f>Неделя!K151</f>
        <v>0</v>
      </c>
    </row>
    <row r="152" spans="2:9" hidden="1">
      <c r="B152" s="15" t="str">
        <f>Неделя!A152</f>
        <v>SoupRamen 180  </v>
      </c>
      <c r="C152" s="15">
        <f>Неделя!B152</f>
        <v>2.0699999999999998</v>
      </c>
      <c r="D152" s="15">
        <f>Неделя!C152</f>
        <v>1</v>
      </c>
      <c r="E152" s="15">
        <f>Неделя!D152</f>
        <v>0</v>
      </c>
      <c r="F152" s="15">
        <f>Неделя!E152</f>
        <v>0</v>
      </c>
      <c r="G152" s="15">
        <f>Неделя!F152</f>
        <v>0</v>
      </c>
      <c r="H152" s="15">
        <f>Неделя!G152</f>
        <v>0</v>
      </c>
      <c r="I152" s="15">
        <f>Неделя!K152</f>
        <v>0</v>
      </c>
    </row>
    <row r="153" spans="2:9">
      <c r="B153" s="15" t="str">
        <f>Неделя!A35</f>
        <v>Яхонт ленина 150</v>
      </c>
      <c r="C153" s="15">
        <f>Неделя!B35</f>
        <v>1.2749999999999999</v>
      </c>
      <c r="D153" s="15">
        <f>Неделя!C35</f>
        <v>0</v>
      </c>
      <c r="E153" s="15">
        <f>Неделя!D35</f>
        <v>1</v>
      </c>
      <c r="F153" s="15">
        <f>Неделя!E35</f>
        <v>0</v>
      </c>
      <c r="G153" s="15">
        <f>Неделя!F35</f>
        <v>0</v>
      </c>
      <c r="H153" s="15">
        <f>Неделя!G35</f>
        <v>0</v>
      </c>
      <c r="I153" s="15">
        <f>Неделя!K35</f>
        <v>1</v>
      </c>
    </row>
    <row r="154" spans="2:9">
      <c r="B154" s="15">
        <f>Неделя!A154</f>
        <v>0</v>
      </c>
      <c r="C154" s="15">
        <f>SUBTOTAL(9,C1:C153)</f>
        <v>122.82999999999998</v>
      </c>
      <c r="D154" s="15">
        <f>Неделя!C154</f>
        <v>180</v>
      </c>
      <c r="E154" s="15">
        <f>Неделя!D154</f>
        <v>150</v>
      </c>
      <c r="F154" s="15" t="str">
        <f>Неделя!E154</f>
        <v xml:space="preserve">рез </v>
      </c>
      <c r="G154" s="15">
        <f>Неделя!F154</f>
        <v>400</v>
      </c>
      <c r="H154" s="15">
        <f>Неделя!G154</f>
        <v>250</v>
      </c>
      <c r="I154" s="15" t="str">
        <f>Неделя!K154</f>
        <v>ср</v>
      </c>
    </row>
    <row r="155" spans="2:9" hidden="1">
      <c r="B155" s="15">
        <f>Неделя!A155</f>
        <v>0</v>
      </c>
      <c r="C155" s="15">
        <f>Неделя!B155</f>
        <v>98.50999999999992</v>
      </c>
      <c r="D155" s="15">
        <f>Неделя!C155</f>
        <v>180</v>
      </c>
      <c r="E155" s="15">
        <f>Неделя!D155</f>
        <v>150</v>
      </c>
      <c r="F155" s="15" t="str">
        <f>Неделя!E155</f>
        <v xml:space="preserve">рез </v>
      </c>
      <c r="G155" s="15">
        <f>Неделя!F155</f>
        <v>400</v>
      </c>
      <c r="H155" s="15">
        <f>Неделя!G155</f>
        <v>250</v>
      </c>
      <c r="I155" s="15">
        <f>Неделя!K155</f>
        <v>0</v>
      </c>
    </row>
    <row r="156" spans="2:9" hidden="1">
      <c r="B156" s="15">
        <f>Неделя!A156</f>
        <v>0</v>
      </c>
      <c r="C156" s="15">
        <f>Неделя!B156</f>
        <v>0</v>
      </c>
      <c r="D156" s="15">
        <f>Неделя!C156</f>
        <v>28</v>
      </c>
      <c r="E156" s="15">
        <f>Неделя!D156</f>
        <v>23</v>
      </c>
      <c r="F156" s="15">
        <f>Неделя!E156</f>
        <v>3</v>
      </c>
      <c r="G156" s="15">
        <f>Неделя!F156</f>
        <v>1</v>
      </c>
      <c r="H156" s="15">
        <f>Неделя!G156</f>
        <v>1</v>
      </c>
      <c r="I156" s="15">
        <f>Неделя!K156</f>
        <v>0</v>
      </c>
    </row>
    <row r="157" spans="2:9" hidden="1">
      <c r="B157" s="15">
        <f>Неделя!A157</f>
        <v>0</v>
      </c>
      <c r="C157" s="15">
        <f>Неделя!B157</f>
        <v>0</v>
      </c>
      <c r="D157" s="15">
        <f>Неделя!C157</f>
        <v>0</v>
      </c>
      <c r="E157" s="15">
        <f>Неделя!D157</f>
        <v>0</v>
      </c>
      <c r="F157" s="15">
        <f>Неделя!E157</f>
        <v>0</v>
      </c>
      <c r="G157" s="15">
        <f>Неделя!F157</f>
        <v>0</v>
      </c>
      <c r="H157" s="15">
        <f>Неделя!G157</f>
        <v>0</v>
      </c>
      <c r="I157" s="15">
        <f>Неделя!K157</f>
        <v>0</v>
      </c>
    </row>
    <row r="158" spans="2:9" hidden="1">
      <c r="B158" s="15">
        <f>Неделя!A158</f>
        <v>0</v>
      </c>
      <c r="C158" s="15">
        <f>Неделя!B158</f>
        <v>0</v>
      </c>
      <c r="D158" s="15">
        <f>Неделя!C158</f>
        <v>0</v>
      </c>
      <c r="E158" s="15">
        <f>Неделя!D158</f>
        <v>0</v>
      </c>
      <c r="F158" s="15">
        <f>Неделя!E158</f>
        <v>0</v>
      </c>
      <c r="G158" s="15">
        <f>Неделя!F158</f>
        <v>0</v>
      </c>
      <c r="H158" s="15">
        <f>Неделя!G158</f>
        <v>0</v>
      </c>
      <c r="I158" s="15">
        <f>Неделя!K158</f>
        <v>0</v>
      </c>
    </row>
    <row r="159" spans="2:9" hidden="1">
      <c r="B159" s="15">
        <f>Неделя!A159</f>
        <v>0</v>
      </c>
      <c r="C159" s="15">
        <f>Неделя!B159</f>
        <v>0</v>
      </c>
      <c r="D159" s="15">
        <f>Неделя!C159</f>
        <v>0</v>
      </c>
      <c r="E159" s="15">
        <f>Неделя!D159</f>
        <v>0</v>
      </c>
      <c r="F159" s="15">
        <f>Неделя!E159</f>
        <v>0</v>
      </c>
      <c r="G159" s="15">
        <f>Неделя!F159</f>
        <v>0</v>
      </c>
      <c r="H159" s="15">
        <f>Неделя!G159</f>
        <v>0</v>
      </c>
      <c r="I159" s="15">
        <f>Неделя!K159</f>
        <v>0</v>
      </c>
    </row>
    <row r="160" spans="2:9" hidden="1">
      <c r="B160" s="15">
        <f>Неделя!A160</f>
        <v>0</v>
      </c>
      <c r="C160" s="15">
        <f>Неделя!B160</f>
        <v>0</v>
      </c>
      <c r="D160" s="15">
        <f>Неделя!C160</f>
        <v>0</v>
      </c>
      <c r="E160" s="15">
        <f>Неделя!D160</f>
        <v>0</v>
      </c>
      <c r="F160" s="15">
        <f>Неделя!E160</f>
        <v>0</v>
      </c>
      <c r="G160" s="15">
        <f>Неделя!F160</f>
        <v>0</v>
      </c>
      <c r="H160" s="15">
        <f>Неделя!G160</f>
        <v>0</v>
      </c>
      <c r="I160" s="15">
        <f>Неделя!K160</f>
        <v>0</v>
      </c>
    </row>
    <row r="161" spans="2:9" hidden="1">
      <c r="B161" s="15">
        <f>Неделя!A161</f>
        <v>0</v>
      </c>
      <c r="C161" s="15">
        <f>Неделя!B161</f>
        <v>0</v>
      </c>
      <c r="D161" s="15">
        <f>Неделя!C161</f>
        <v>0</v>
      </c>
      <c r="E161" s="15">
        <f>Неделя!D161</f>
        <v>0</v>
      </c>
      <c r="F161" s="15">
        <f>Неделя!E161</f>
        <v>0</v>
      </c>
      <c r="G161" s="15">
        <f>Неделя!F161</f>
        <v>0</v>
      </c>
      <c r="H161" s="15">
        <f>Неделя!G161</f>
        <v>0</v>
      </c>
      <c r="I161" s="15">
        <f>Неделя!K161</f>
        <v>0</v>
      </c>
    </row>
    <row r="162" spans="2:9" hidden="1">
      <c r="B162" s="15">
        <f>Неделя!A162</f>
        <v>0</v>
      </c>
      <c r="C162" s="15">
        <f>Неделя!B162</f>
        <v>0</v>
      </c>
      <c r="D162" s="15">
        <f>Неделя!C162</f>
        <v>0</v>
      </c>
      <c r="E162" s="15">
        <f>Неделя!D162</f>
        <v>0</v>
      </c>
      <c r="F162" s="15">
        <f>Неделя!E162</f>
        <v>0</v>
      </c>
      <c r="G162" s="15">
        <f>Неделя!F162</f>
        <v>0</v>
      </c>
      <c r="H162" s="15">
        <f>Неделя!G162</f>
        <v>0</v>
      </c>
      <c r="I162" s="15">
        <f>Неделя!K162</f>
        <v>0</v>
      </c>
    </row>
    <row r="163" spans="2:9" hidden="1">
      <c r="B163" s="15">
        <f>Неделя!A163</f>
        <v>0</v>
      </c>
      <c r="C163" s="15">
        <f>Неделя!B163</f>
        <v>0</v>
      </c>
      <c r="D163" s="15">
        <f>Неделя!C163</f>
        <v>0</v>
      </c>
      <c r="E163" s="15">
        <f>Неделя!D163</f>
        <v>0</v>
      </c>
      <c r="F163" s="15">
        <f>Неделя!E163</f>
        <v>0</v>
      </c>
      <c r="G163" s="15">
        <f>Неделя!F163</f>
        <v>0</v>
      </c>
      <c r="H163" s="15">
        <f>Неделя!G163</f>
        <v>0</v>
      </c>
      <c r="I163" s="15">
        <f>Неделя!K163</f>
        <v>0</v>
      </c>
    </row>
    <row r="164" spans="2:9" hidden="1">
      <c r="B164" s="15">
        <f>Неделя!A164</f>
        <v>0</v>
      </c>
      <c r="C164" s="15">
        <f>Неделя!B164</f>
        <v>0</v>
      </c>
      <c r="D164" s="15">
        <f>Неделя!C164</f>
        <v>0</v>
      </c>
      <c r="E164" s="15">
        <f>Неделя!D164</f>
        <v>0</v>
      </c>
      <c r="F164" s="15">
        <f>Неделя!E164</f>
        <v>0</v>
      </c>
      <c r="G164" s="15">
        <f>Неделя!F164</f>
        <v>0</v>
      </c>
      <c r="H164" s="15">
        <f>Неделя!G164</f>
        <v>0</v>
      </c>
      <c r="I164" s="15">
        <f>Неделя!K164</f>
        <v>0</v>
      </c>
    </row>
    <row r="165" spans="2:9" hidden="1">
      <c r="B165" s="15">
        <f>Неделя!A165</f>
        <v>0</v>
      </c>
      <c r="C165" s="15">
        <f>Неделя!B165</f>
        <v>0</v>
      </c>
      <c r="D165" s="15">
        <f>Неделя!C165</f>
        <v>0</v>
      </c>
      <c r="E165" s="15">
        <f>Неделя!D165</f>
        <v>0</v>
      </c>
      <c r="F165" s="15">
        <f>Неделя!E165</f>
        <v>0</v>
      </c>
      <c r="G165" s="15">
        <f>Неделя!F165</f>
        <v>0</v>
      </c>
      <c r="H165" s="15">
        <f>Неделя!G165</f>
        <v>0</v>
      </c>
      <c r="I165" s="15">
        <f>Неделя!K165</f>
        <v>0</v>
      </c>
    </row>
    <row r="166" spans="2:9" hidden="1">
      <c r="B166" s="15">
        <f>Неделя!A166</f>
        <v>0</v>
      </c>
      <c r="C166" s="15">
        <f>Неделя!B166</f>
        <v>0</v>
      </c>
      <c r="D166" s="15">
        <f>Неделя!C166</f>
        <v>0</v>
      </c>
      <c r="E166" s="15">
        <f>Неделя!D166</f>
        <v>0</v>
      </c>
      <c r="F166" s="15">
        <f>Неделя!E166</f>
        <v>0</v>
      </c>
      <c r="G166" s="15">
        <f>Неделя!F166</f>
        <v>0</v>
      </c>
      <c r="H166" s="15">
        <f>Неделя!G166</f>
        <v>0</v>
      </c>
      <c r="I166" s="15">
        <f>Неделя!K166</f>
        <v>0</v>
      </c>
    </row>
    <row r="167" spans="2:9" hidden="1">
      <c r="B167" s="15">
        <f>Неделя!A167</f>
        <v>0</v>
      </c>
      <c r="C167" s="15">
        <f>Неделя!B167</f>
        <v>0</v>
      </c>
      <c r="D167" s="15">
        <f>Неделя!C167</f>
        <v>0</v>
      </c>
      <c r="E167" s="15">
        <f>Неделя!D167</f>
        <v>0</v>
      </c>
      <c r="F167" s="15">
        <f>Неделя!E167</f>
        <v>0</v>
      </c>
      <c r="G167" s="15">
        <f>Неделя!F167</f>
        <v>0</v>
      </c>
      <c r="H167" s="15">
        <f>Неделя!G167</f>
        <v>0</v>
      </c>
      <c r="I167" s="15">
        <f>Неделя!K167</f>
        <v>0</v>
      </c>
    </row>
    <row r="168" spans="2:9" hidden="1">
      <c r="B168" s="15">
        <f>Неделя!A168</f>
        <v>0</v>
      </c>
      <c r="C168" s="15">
        <f>Неделя!B168</f>
        <v>0</v>
      </c>
      <c r="D168" s="15">
        <f>Неделя!C168</f>
        <v>0</v>
      </c>
      <c r="E168" s="15">
        <f>Неделя!D168</f>
        <v>0</v>
      </c>
      <c r="F168" s="15">
        <f>Неделя!E168</f>
        <v>0</v>
      </c>
      <c r="G168" s="15">
        <f>Неделя!F168</f>
        <v>0</v>
      </c>
      <c r="H168" s="15">
        <f>Неделя!G168</f>
        <v>0</v>
      </c>
      <c r="I168" s="15">
        <f>Неделя!K168</f>
        <v>0</v>
      </c>
    </row>
    <row r="169" spans="2:9" hidden="1">
      <c r="B169" s="15">
        <f>Неделя!A169</f>
        <v>0</v>
      </c>
      <c r="C169" s="15">
        <f>Неделя!B169</f>
        <v>0</v>
      </c>
      <c r="D169" s="15">
        <f>Неделя!C169</f>
        <v>0</v>
      </c>
      <c r="E169" s="15">
        <f>Неделя!D169</f>
        <v>0</v>
      </c>
      <c r="F169" s="15">
        <f>Неделя!E169</f>
        <v>0</v>
      </c>
      <c r="G169" s="15">
        <f>Неделя!F169</f>
        <v>0</v>
      </c>
      <c r="H169" s="15">
        <f>Неделя!G169</f>
        <v>0</v>
      </c>
      <c r="I169" s="15">
        <f>Неделя!K169</f>
        <v>0</v>
      </c>
    </row>
    <row r="170" spans="2:9" hidden="1">
      <c r="B170" s="15">
        <f>Неделя!A170</f>
        <v>0</v>
      </c>
      <c r="C170" s="15">
        <f>Неделя!B170</f>
        <v>0</v>
      </c>
      <c r="D170" s="15">
        <f>Неделя!C170</f>
        <v>0</v>
      </c>
      <c r="E170" s="15">
        <f>Неделя!D170</f>
        <v>0</v>
      </c>
      <c r="F170" s="15">
        <f>Неделя!E170</f>
        <v>0</v>
      </c>
      <c r="G170" s="15">
        <f>Неделя!F170</f>
        <v>0</v>
      </c>
      <c r="H170" s="15">
        <f>Неделя!G170</f>
        <v>0</v>
      </c>
      <c r="I170" s="15">
        <f>Неделя!K170</f>
        <v>0</v>
      </c>
    </row>
    <row r="171" spans="2:9" hidden="1">
      <c r="B171" s="15">
        <f>Неделя!A171</f>
        <v>0</v>
      </c>
      <c r="C171" s="15">
        <f>Неделя!B171</f>
        <v>0</v>
      </c>
      <c r="D171" s="15">
        <f>Неделя!C171</f>
        <v>0</v>
      </c>
      <c r="E171" s="15">
        <f>Неделя!D171</f>
        <v>0</v>
      </c>
      <c r="F171" s="15">
        <f>Неделя!E171</f>
        <v>0</v>
      </c>
      <c r="G171" s="15">
        <f>Неделя!F171</f>
        <v>0</v>
      </c>
      <c r="H171" s="15">
        <f>Неделя!G171</f>
        <v>0</v>
      </c>
      <c r="I171" s="15">
        <f>Неделя!K171</f>
        <v>0</v>
      </c>
    </row>
    <row r="172" spans="2:9" hidden="1">
      <c r="B172" s="15">
        <f>Неделя!A172</f>
        <v>0</v>
      </c>
      <c r="C172" s="15">
        <f>Неделя!B172</f>
        <v>0</v>
      </c>
      <c r="D172" s="15">
        <f>Неделя!C172</f>
        <v>0</v>
      </c>
      <c r="E172" s="15">
        <f>Неделя!D172</f>
        <v>0</v>
      </c>
      <c r="F172" s="15">
        <f>Неделя!E172</f>
        <v>0</v>
      </c>
      <c r="G172" s="15">
        <f>Неделя!F172</f>
        <v>0</v>
      </c>
      <c r="H172" s="15">
        <f>Неделя!G172</f>
        <v>0</v>
      </c>
      <c r="I172" s="15">
        <f>Неделя!K172</f>
        <v>0</v>
      </c>
    </row>
    <row r="173" spans="2:9" hidden="1">
      <c r="B173" s="15">
        <f>Неделя!A173</f>
        <v>0</v>
      </c>
      <c r="C173" s="15">
        <f>Неделя!B173</f>
        <v>0</v>
      </c>
      <c r="D173" s="15">
        <f>Неделя!C173</f>
        <v>0</v>
      </c>
      <c r="E173" s="15">
        <f>Неделя!D173</f>
        <v>0</v>
      </c>
      <c r="F173" s="15">
        <f>Неделя!E173</f>
        <v>0</v>
      </c>
      <c r="G173" s="15">
        <f>Неделя!F173</f>
        <v>0</v>
      </c>
      <c r="H173" s="15">
        <f>Неделя!G173</f>
        <v>0</v>
      </c>
      <c r="I173" s="15">
        <f>Неделя!K173</f>
        <v>0</v>
      </c>
    </row>
    <row r="174" spans="2:9" hidden="1">
      <c r="B174" s="15">
        <f>Неделя!A174</f>
        <v>0</v>
      </c>
      <c r="C174" s="15">
        <f>Неделя!B174</f>
        <v>0</v>
      </c>
      <c r="D174" s="15">
        <f>Неделя!C174</f>
        <v>0</v>
      </c>
      <c r="E174" s="15">
        <f>Неделя!D174</f>
        <v>0</v>
      </c>
      <c r="F174" s="15">
        <f>Неделя!E174</f>
        <v>0</v>
      </c>
      <c r="G174" s="15">
        <f>Неделя!F174</f>
        <v>0</v>
      </c>
      <c r="H174" s="15">
        <f>Неделя!G174</f>
        <v>0</v>
      </c>
      <c r="I174" s="15">
        <f>Неделя!K174</f>
        <v>0</v>
      </c>
    </row>
    <row r="175" spans="2:9" hidden="1">
      <c r="B175" s="15">
        <f>Неделя!A175</f>
        <v>0</v>
      </c>
      <c r="C175" s="15">
        <f>Неделя!B175</f>
        <v>0</v>
      </c>
      <c r="D175" s="15">
        <f>Неделя!C175</f>
        <v>0</v>
      </c>
      <c r="E175" s="15">
        <f>Неделя!D175</f>
        <v>0</v>
      </c>
      <c r="F175" s="15">
        <f>Неделя!E175</f>
        <v>0</v>
      </c>
      <c r="G175" s="15">
        <f>Неделя!F175</f>
        <v>0</v>
      </c>
      <c r="H175" s="15">
        <f>Неделя!G175</f>
        <v>0</v>
      </c>
      <c r="I175" s="15">
        <f>Неделя!K175</f>
        <v>0</v>
      </c>
    </row>
    <row r="176" spans="2:9" hidden="1">
      <c r="B176" s="15">
        <f>Неделя!A176</f>
        <v>0</v>
      </c>
      <c r="C176" s="15">
        <f>Неделя!B176</f>
        <v>0</v>
      </c>
      <c r="D176" s="15">
        <f>Неделя!C176</f>
        <v>0</v>
      </c>
      <c r="E176" s="15">
        <f>Неделя!D176</f>
        <v>0</v>
      </c>
      <c r="F176" s="15">
        <f>Неделя!E176</f>
        <v>0</v>
      </c>
      <c r="G176" s="15">
        <f>Неделя!F176</f>
        <v>0</v>
      </c>
      <c r="H176" s="15">
        <f>Неделя!G176</f>
        <v>0</v>
      </c>
      <c r="I176" s="15">
        <f>Неделя!K176</f>
        <v>0</v>
      </c>
    </row>
    <row r="177" spans="2:9" hidden="1">
      <c r="B177" s="15">
        <f>Неделя!A177</f>
        <v>0</v>
      </c>
      <c r="C177" s="15">
        <f>Неделя!B177</f>
        <v>0</v>
      </c>
      <c r="D177" s="15">
        <f>Неделя!C177</f>
        <v>0</v>
      </c>
      <c r="E177" s="15">
        <f>Неделя!D177</f>
        <v>0</v>
      </c>
      <c r="F177" s="15">
        <f>Неделя!E177</f>
        <v>0</v>
      </c>
      <c r="G177" s="15">
        <f>Неделя!F177</f>
        <v>0</v>
      </c>
      <c r="H177" s="15">
        <f>Неделя!G177</f>
        <v>0</v>
      </c>
      <c r="I177" s="15">
        <f>Неделя!K177</f>
        <v>0</v>
      </c>
    </row>
    <row r="178" spans="2:9" hidden="1">
      <c r="B178" s="15">
        <f>Неделя!A178</f>
        <v>0</v>
      </c>
      <c r="C178" s="15">
        <f>Неделя!B178</f>
        <v>0</v>
      </c>
      <c r="D178" s="15">
        <f>Неделя!C178</f>
        <v>0</v>
      </c>
      <c r="E178" s="15">
        <f>Неделя!D178</f>
        <v>0</v>
      </c>
      <c r="F178" s="15">
        <f>Неделя!E178</f>
        <v>0</v>
      </c>
      <c r="G178" s="15">
        <f>Неделя!F178</f>
        <v>0</v>
      </c>
      <c r="H178" s="15">
        <f>Неделя!G178</f>
        <v>0</v>
      </c>
      <c r="I178" s="15">
        <f>Неделя!K178</f>
        <v>0</v>
      </c>
    </row>
    <row r="179" spans="2:9" hidden="1">
      <c r="B179" s="15">
        <f>Неделя!A179</f>
        <v>0</v>
      </c>
      <c r="C179" s="15">
        <f>Неделя!B179</f>
        <v>0</v>
      </c>
      <c r="D179" s="15">
        <f>Неделя!C179</f>
        <v>0</v>
      </c>
      <c r="E179" s="15">
        <f>Неделя!D179</f>
        <v>0</v>
      </c>
      <c r="F179" s="15">
        <f>Неделя!E179</f>
        <v>0</v>
      </c>
      <c r="G179" s="15">
        <f>Неделя!F179</f>
        <v>0</v>
      </c>
      <c r="H179" s="15">
        <f>Неделя!G179</f>
        <v>0</v>
      </c>
      <c r="I179" s="15">
        <f>Неделя!K179</f>
        <v>0</v>
      </c>
    </row>
    <row r="180" spans="2:9" hidden="1">
      <c r="B180" s="15">
        <f>Неделя!A180</f>
        <v>0</v>
      </c>
      <c r="C180" s="15">
        <f>Неделя!B180</f>
        <v>0</v>
      </c>
      <c r="D180" s="15">
        <f>Неделя!C180</f>
        <v>0</v>
      </c>
      <c r="E180" s="15">
        <f>Неделя!D180</f>
        <v>0</v>
      </c>
      <c r="F180" s="15">
        <f>Неделя!E180</f>
        <v>0</v>
      </c>
      <c r="G180" s="15">
        <f>Неделя!F180</f>
        <v>0</v>
      </c>
      <c r="H180" s="15">
        <f>Неделя!G180</f>
        <v>0</v>
      </c>
      <c r="I180" s="15">
        <f>Неделя!K180</f>
        <v>0</v>
      </c>
    </row>
    <row r="181" spans="2:9" hidden="1">
      <c r="B181" s="15">
        <f>Неделя!A181</f>
        <v>0</v>
      </c>
      <c r="C181" s="15">
        <f>Неделя!B181</f>
        <v>0</v>
      </c>
      <c r="D181" s="15">
        <f>Неделя!C181</f>
        <v>0</v>
      </c>
      <c r="E181" s="15">
        <f>Неделя!D181</f>
        <v>0</v>
      </c>
      <c r="F181" s="15">
        <f>Неделя!E181</f>
        <v>0</v>
      </c>
      <c r="G181" s="15">
        <f>Неделя!F181</f>
        <v>0</v>
      </c>
      <c r="H181" s="15">
        <f>Неделя!G181</f>
        <v>0</v>
      </c>
      <c r="I181" s="15">
        <f>Неделя!K181</f>
        <v>0</v>
      </c>
    </row>
    <row r="182" spans="2:9" hidden="1">
      <c r="B182" s="15">
        <f>Неделя!A182</f>
        <v>0</v>
      </c>
      <c r="C182" s="15">
        <f>Неделя!B182</f>
        <v>0</v>
      </c>
      <c r="D182" s="15">
        <f>Неделя!C182</f>
        <v>0</v>
      </c>
      <c r="E182" s="15">
        <f>Неделя!D182</f>
        <v>0</v>
      </c>
      <c r="F182" s="15">
        <f>Неделя!E182</f>
        <v>0</v>
      </c>
      <c r="G182" s="15">
        <f>Неделя!F182</f>
        <v>0</v>
      </c>
      <c r="H182" s="15">
        <f>Неделя!G182</f>
        <v>0</v>
      </c>
      <c r="I182" s="15">
        <f>Неделя!K182</f>
        <v>0</v>
      </c>
    </row>
    <row r="183" spans="2:9" hidden="1">
      <c r="B183" s="15">
        <f>Неделя!A183</f>
        <v>0</v>
      </c>
      <c r="C183" s="15">
        <f>Неделя!B183</f>
        <v>0</v>
      </c>
      <c r="D183" s="15">
        <f>Неделя!C183</f>
        <v>0</v>
      </c>
      <c r="E183" s="15">
        <f>Неделя!D183</f>
        <v>0</v>
      </c>
      <c r="F183" s="15">
        <f>Неделя!E183</f>
        <v>0</v>
      </c>
      <c r="G183" s="15">
        <f>Неделя!F183</f>
        <v>0</v>
      </c>
      <c r="H183" s="15">
        <f>Неделя!G183</f>
        <v>0</v>
      </c>
      <c r="I183" s="15">
        <f>Неделя!K183</f>
        <v>0</v>
      </c>
    </row>
    <row r="184" spans="2:9" hidden="1">
      <c r="B184" s="15">
        <f>Неделя!A184</f>
        <v>0</v>
      </c>
      <c r="C184" s="15">
        <f>Неделя!B184</f>
        <v>0</v>
      </c>
      <c r="D184" s="15">
        <f>Неделя!C184</f>
        <v>0</v>
      </c>
      <c r="E184" s="15">
        <f>Неделя!D184</f>
        <v>0</v>
      </c>
      <c r="F184" s="15">
        <f>Неделя!E184</f>
        <v>0</v>
      </c>
      <c r="G184" s="15">
        <f>Неделя!F184</f>
        <v>0</v>
      </c>
      <c r="H184" s="15">
        <f>Неделя!G184</f>
        <v>0</v>
      </c>
      <c r="I184" s="15">
        <f>Неделя!K184</f>
        <v>0</v>
      </c>
    </row>
    <row r="185" spans="2:9" hidden="1">
      <c r="B185" s="15">
        <f>Неделя!A185</f>
        <v>0</v>
      </c>
      <c r="C185" s="15">
        <f>Неделя!B185</f>
        <v>0</v>
      </c>
      <c r="D185" s="15">
        <f>Неделя!C185</f>
        <v>0</v>
      </c>
      <c r="E185" s="15">
        <f>Неделя!D185</f>
        <v>0</v>
      </c>
      <c r="F185" s="15">
        <f>Неделя!E185</f>
        <v>0</v>
      </c>
      <c r="G185" s="15">
        <f>Неделя!F185</f>
        <v>0</v>
      </c>
      <c r="H185" s="15">
        <f>Неделя!G185</f>
        <v>0</v>
      </c>
      <c r="I185" s="15">
        <f>Неделя!K185</f>
        <v>0</v>
      </c>
    </row>
    <row r="186" spans="2:9" hidden="1">
      <c r="B186" s="15">
        <f>Неделя!A186</f>
        <v>0</v>
      </c>
      <c r="C186" s="15">
        <f>Неделя!B186</f>
        <v>0</v>
      </c>
      <c r="D186" s="15">
        <f>Неделя!C186</f>
        <v>0</v>
      </c>
      <c r="E186" s="15">
        <f>Неделя!D186</f>
        <v>0</v>
      </c>
      <c r="F186" s="15">
        <f>Неделя!E186</f>
        <v>0</v>
      </c>
      <c r="G186" s="15">
        <f>Неделя!F186</f>
        <v>0</v>
      </c>
      <c r="H186" s="15">
        <f>Неделя!G186</f>
        <v>0</v>
      </c>
      <c r="I186" s="15">
        <f>Неделя!K186</f>
        <v>0</v>
      </c>
    </row>
    <row r="187" spans="2:9" hidden="1">
      <c r="B187" s="15">
        <f>Неделя!A187</f>
        <v>0</v>
      </c>
      <c r="C187" s="15">
        <f>Неделя!B187</f>
        <v>0</v>
      </c>
      <c r="D187" s="15">
        <f>Неделя!C187</f>
        <v>0</v>
      </c>
      <c r="E187" s="15">
        <f>Неделя!D187</f>
        <v>0</v>
      </c>
      <c r="F187" s="15">
        <f>Неделя!E187</f>
        <v>0</v>
      </c>
      <c r="G187" s="15">
        <f>Неделя!F187</f>
        <v>0</v>
      </c>
      <c r="H187" s="15">
        <f>Неделя!G187</f>
        <v>0</v>
      </c>
      <c r="I187" s="15">
        <f>Неделя!K187</f>
        <v>0</v>
      </c>
    </row>
    <row r="188" spans="2:9" hidden="1">
      <c r="B188" s="15">
        <f>Неделя!A188</f>
        <v>0</v>
      </c>
      <c r="C188" s="15">
        <f>Неделя!B188</f>
        <v>0</v>
      </c>
      <c r="D188" s="15">
        <f>Неделя!C188</f>
        <v>0</v>
      </c>
      <c r="E188" s="15">
        <f>Неделя!D188</f>
        <v>0</v>
      </c>
      <c r="F188" s="15">
        <f>Неделя!E188</f>
        <v>0</v>
      </c>
      <c r="G188" s="15">
        <f>Неделя!F188</f>
        <v>0</v>
      </c>
      <c r="H188" s="15">
        <f>Неделя!G188</f>
        <v>0</v>
      </c>
      <c r="I188" s="15">
        <f>Неделя!K188</f>
        <v>0</v>
      </c>
    </row>
    <row r="189" spans="2:9" hidden="1">
      <c r="B189" s="15">
        <f>Неделя!A189</f>
        <v>0</v>
      </c>
      <c r="C189" s="15">
        <f>Неделя!B189</f>
        <v>0</v>
      </c>
      <c r="D189" s="15">
        <f>Неделя!C189</f>
        <v>0</v>
      </c>
      <c r="E189" s="15">
        <f>Неделя!D189</f>
        <v>0</v>
      </c>
      <c r="F189" s="15">
        <f>Неделя!E189</f>
        <v>0</v>
      </c>
      <c r="G189" s="15">
        <f>Неделя!F189</f>
        <v>0</v>
      </c>
      <c r="H189" s="15">
        <f>Неделя!G189</f>
        <v>0</v>
      </c>
      <c r="I189" s="15">
        <f>Неделя!K189</f>
        <v>0</v>
      </c>
    </row>
    <row r="190" spans="2:9" hidden="1">
      <c r="B190" s="15">
        <f>Неделя!A190</f>
        <v>0</v>
      </c>
      <c r="C190" s="15">
        <f>Неделя!B190</f>
        <v>0</v>
      </c>
      <c r="D190" s="15">
        <f>Неделя!C190</f>
        <v>0</v>
      </c>
      <c r="E190" s="15">
        <f>Неделя!D190</f>
        <v>0</v>
      </c>
      <c r="F190" s="15">
        <f>Неделя!E190</f>
        <v>0</v>
      </c>
      <c r="G190" s="15">
        <f>Неделя!F190</f>
        <v>0</v>
      </c>
      <c r="H190" s="15">
        <f>Неделя!G190</f>
        <v>0</v>
      </c>
      <c r="I190" s="15">
        <f>Неделя!K190</f>
        <v>0</v>
      </c>
    </row>
    <row r="191" spans="2:9" hidden="1">
      <c r="B191" s="15">
        <f>Неделя!A191</f>
        <v>0</v>
      </c>
      <c r="C191" s="15">
        <f>Неделя!B191</f>
        <v>0</v>
      </c>
      <c r="D191" s="15">
        <f>Неделя!C191</f>
        <v>0</v>
      </c>
      <c r="E191" s="15">
        <f>Неделя!D191</f>
        <v>0</v>
      </c>
      <c r="F191" s="15">
        <f>Неделя!E191</f>
        <v>0</v>
      </c>
      <c r="G191" s="15">
        <f>Неделя!F191</f>
        <v>0</v>
      </c>
      <c r="H191" s="15">
        <f>Неделя!G191</f>
        <v>0</v>
      </c>
      <c r="I191" s="15">
        <f>Неделя!K191</f>
        <v>0</v>
      </c>
    </row>
    <row r="192" spans="2:9" hidden="1">
      <c r="B192" s="15">
        <f>Неделя!A192</f>
        <v>0</v>
      </c>
      <c r="C192" s="15">
        <f>Неделя!B192</f>
        <v>0</v>
      </c>
      <c r="D192" s="15">
        <f>Неделя!C192</f>
        <v>0</v>
      </c>
      <c r="E192" s="15">
        <f>Неделя!D192</f>
        <v>0</v>
      </c>
      <c r="F192" s="15">
        <f>Неделя!E192</f>
        <v>0</v>
      </c>
      <c r="G192" s="15">
        <f>Неделя!F192</f>
        <v>0</v>
      </c>
      <c r="H192" s="15">
        <f>Неделя!G192</f>
        <v>0</v>
      </c>
      <c r="I192" s="15">
        <f>Неделя!K192</f>
        <v>0</v>
      </c>
    </row>
    <row r="193" spans="2:9" hidden="1">
      <c r="B193" s="15">
        <f>Неделя!A193</f>
        <v>0</v>
      </c>
      <c r="C193" s="15">
        <f>Неделя!B193</f>
        <v>0</v>
      </c>
      <c r="D193" s="15">
        <f>Неделя!C193</f>
        <v>0</v>
      </c>
      <c r="E193" s="15">
        <f>Неделя!D193</f>
        <v>0</v>
      </c>
      <c r="F193" s="15">
        <f>Неделя!E193</f>
        <v>0</v>
      </c>
      <c r="G193" s="15">
        <f>Неделя!F193</f>
        <v>0</v>
      </c>
      <c r="H193" s="15">
        <f>Неделя!G193</f>
        <v>0</v>
      </c>
      <c r="I193" s="15">
        <f>Неделя!K193</f>
        <v>0</v>
      </c>
    </row>
    <row r="194" spans="2:9" hidden="1">
      <c r="B194" s="15">
        <f>Неделя!A194</f>
        <v>0</v>
      </c>
      <c r="C194" s="15">
        <f>Неделя!B194</f>
        <v>0</v>
      </c>
      <c r="D194" s="15">
        <f>Неделя!C194</f>
        <v>0</v>
      </c>
      <c r="E194" s="15">
        <f>Неделя!D194</f>
        <v>0</v>
      </c>
      <c r="F194" s="15">
        <f>Неделя!E194</f>
        <v>0</v>
      </c>
      <c r="G194" s="15">
        <f>Неделя!F194</f>
        <v>0</v>
      </c>
      <c r="H194" s="15">
        <f>Неделя!G194</f>
        <v>0</v>
      </c>
      <c r="I194" s="15">
        <f>Неделя!K194</f>
        <v>0</v>
      </c>
    </row>
    <row r="195" spans="2:9" hidden="1">
      <c r="B195" s="15">
        <f>Неделя!A195</f>
        <v>0</v>
      </c>
      <c r="C195" s="15">
        <f>Неделя!B195</f>
        <v>0</v>
      </c>
      <c r="D195" s="15">
        <f>Неделя!C195</f>
        <v>0</v>
      </c>
      <c r="E195" s="15">
        <f>Неделя!D195</f>
        <v>0</v>
      </c>
      <c r="F195" s="15">
        <f>Неделя!E195</f>
        <v>0</v>
      </c>
      <c r="G195" s="15">
        <f>Неделя!F195</f>
        <v>0</v>
      </c>
      <c r="H195" s="15">
        <f>Неделя!G195</f>
        <v>0</v>
      </c>
      <c r="I195" s="15">
        <f>Неделя!K195</f>
        <v>0</v>
      </c>
    </row>
    <row r="196" spans="2:9" hidden="1">
      <c r="B196" s="15">
        <f>Неделя!A196</f>
        <v>0</v>
      </c>
      <c r="C196" s="15">
        <f>Неделя!B196</f>
        <v>0</v>
      </c>
      <c r="D196" s="15">
        <f>Неделя!C196</f>
        <v>0</v>
      </c>
      <c r="E196" s="15">
        <f>Неделя!D196</f>
        <v>0</v>
      </c>
      <c r="F196" s="15">
        <f>Неделя!E196</f>
        <v>0</v>
      </c>
      <c r="G196" s="15">
        <f>Неделя!F196</f>
        <v>0</v>
      </c>
      <c r="H196" s="15">
        <f>Неделя!G196</f>
        <v>0</v>
      </c>
      <c r="I196" s="15">
        <f>Неделя!K196</f>
        <v>0</v>
      </c>
    </row>
    <row r="197" spans="2:9" hidden="1">
      <c r="B197" s="15">
        <f>Неделя!A197</f>
        <v>0</v>
      </c>
      <c r="C197" s="15">
        <f>Неделя!B197</f>
        <v>0</v>
      </c>
      <c r="D197" s="15">
        <f>Неделя!C197</f>
        <v>0</v>
      </c>
      <c r="E197" s="15">
        <f>Неделя!D197</f>
        <v>0</v>
      </c>
      <c r="F197" s="15">
        <f>Неделя!E197</f>
        <v>0</v>
      </c>
      <c r="G197" s="15">
        <f>Неделя!F197</f>
        <v>0</v>
      </c>
      <c r="H197" s="15">
        <f>Неделя!G197</f>
        <v>0</v>
      </c>
      <c r="I197" s="15">
        <f>Неделя!K197</f>
        <v>0</v>
      </c>
    </row>
    <row r="198" spans="2:9" hidden="1">
      <c r="B198" s="15">
        <f>Неделя!A198</f>
        <v>0</v>
      </c>
      <c r="C198" s="15">
        <f>Неделя!B198</f>
        <v>0</v>
      </c>
      <c r="D198" s="15">
        <f>Неделя!C198</f>
        <v>0</v>
      </c>
      <c r="E198" s="15">
        <f>Неделя!D198</f>
        <v>0</v>
      </c>
      <c r="F198" s="15">
        <f>Неделя!E198</f>
        <v>0</v>
      </c>
      <c r="G198" s="15">
        <f>Неделя!F198</f>
        <v>0</v>
      </c>
      <c r="H198" s="15">
        <f>Неделя!G198</f>
        <v>0</v>
      </c>
      <c r="I198" s="15">
        <f>Неделя!K198</f>
        <v>0</v>
      </c>
    </row>
    <row r="199" spans="2:9" hidden="1">
      <c r="B199" s="15">
        <f>Неделя!A199</f>
        <v>0</v>
      </c>
      <c r="C199" s="15">
        <f>Неделя!B199</f>
        <v>0</v>
      </c>
      <c r="D199" s="15">
        <f>Неделя!C199</f>
        <v>0</v>
      </c>
      <c r="E199" s="15">
        <f>Неделя!D199</f>
        <v>0</v>
      </c>
      <c r="F199" s="15">
        <f>Неделя!E199</f>
        <v>0</v>
      </c>
      <c r="G199" s="15">
        <f>Неделя!F199</f>
        <v>0</v>
      </c>
      <c r="H199" s="15">
        <f>Неделя!G199</f>
        <v>0</v>
      </c>
      <c r="I199" s="15">
        <f>Неделя!K199</f>
        <v>0</v>
      </c>
    </row>
    <row r="200" spans="2:9" hidden="1">
      <c r="B200" s="15">
        <f>Неделя!A200</f>
        <v>0</v>
      </c>
      <c r="C200" s="15">
        <f>Неделя!B200</f>
        <v>0</v>
      </c>
      <c r="D200" s="15">
        <f>Неделя!C200</f>
        <v>0</v>
      </c>
      <c r="E200" s="15">
        <f>Неделя!D200</f>
        <v>0</v>
      </c>
      <c r="F200" s="15">
        <f>Неделя!E200</f>
        <v>0</v>
      </c>
      <c r="G200" s="15">
        <f>Неделя!F200</f>
        <v>0</v>
      </c>
      <c r="H200" s="15">
        <f>Неделя!G200</f>
        <v>0</v>
      </c>
      <c r="I200" s="15">
        <f>Неделя!K200</f>
        <v>0</v>
      </c>
    </row>
    <row r="201" spans="2:9" hidden="1">
      <c r="B201" s="15">
        <f>Неделя!A201</f>
        <v>0</v>
      </c>
      <c r="C201" s="15">
        <f>Неделя!B201</f>
        <v>0</v>
      </c>
      <c r="D201" s="15">
        <f>Неделя!C201</f>
        <v>0</v>
      </c>
      <c r="E201" s="15">
        <f>Неделя!D201</f>
        <v>0</v>
      </c>
      <c r="F201" s="15">
        <f>Неделя!E201</f>
        <v>0</v>
      </c>
      <c r="G201" s="15">
        <f>Неделя!F201</f>
        <v>0</v>
      </c>
      <c r="H201" s="15">
        <f>Неделя!G201</f>
        <v>0</v>
      </c>
      <c r="I201" s="15">
        <f>Неделя!K201</f>
        <v>0</v>
      </c>
    </row>
    <row r="202" spans="2:9" hidden="1">
      <c r="B202" s="15">
        <f>Неделя!A202</f>
        <v>0</v>
      </c>
      <c r="C202" s="15">
        <f>Неделя!B202</f>
        <v>0</v>
      </c>
      <c r="D202" s="15">
        <f>Неделя!C202</f>
        <v>0</v>
      </c>
      <c r="E202" s="15">
        <f>Неделя!D202</f>
        <v>0</v>
      </c>
      <c r="F202" s="15">
        <f>Неделя!E202</f>
        <v>0</v>
      </c>
      <c r="G202" s="15">
        <f>Неделя!F202</f>
        <v>0</v>
      </c>
      <c r="H202" s="15">
        <f>Неделя!G202</f>
        <v>0</v>
      </c>
      <c r="I202" s="15">
        <f>Неделя!K202</f>
        <v>0</v>
      </c>
    </row>
    <row r="203" spans="2:9" hidden="1">
      <c r="B203" s="15">
        <f>Неделя!A203</f>
        <v>0</v>
      </c>
      <c r="C203" s="15">
        <f>Неделя!B203</f>
        <v>0</v>
      </c>
      <c r="D203" s="15">
        <f>Неделя!C203</f>
        <v>0</v>
      </c>
      <c r="E203" s="15">
        <f>Неделя!D203</f>
        <v>0</v>
      </c>
      <c r="F203" s="15">
        <f>Неделя!E203</f>
        <v>0</v>
      </c>
      <c r="G203" s="15">
        <f>Неделя!F203</f>
        <v>0</v>
      </c>
      <c r="H203" s="15">
        <f>Неделя!G203</f>
        <v>0</v>
      </c>
      <c r="I203" s="15">
        <f>Неделя!K203</f>
        <v>0</v>
      </c>
    </row>
    <row r="204" spans="2:9" hidden="1">
      <c r="B204" s="15">
        <f>Неделя!A204</f>
        <v>0</v>
      </c>
      <c r="C204" s="15">
        <f>Неделя!B204</f>
        <v>0</v>
      </c>
      <c r="D204" s="15">
        <f>Неделя!C204</f>
        <v>0</v>
      </c>
      <c r="E204" s="15">
        <f>Неделя!D204</f>
        <v>0</v>
      </c>
      <c r="F204" s="15">
        <f>Неделя!E204</f>
        <v>0</v>
      </c>
      <c r="G204" s="15">
        <f>Неделя!F204</f>
        <v>0</v>
      </c>
      <c r="H204" s="15">
        <f>Неделя!G204</f>
        <v>0</v>
      </c>
      <c r="I204" s="15">
        <f>Неделя!K204</f>
        <v>0</v>
      </c>
    </row>
    <row r="205" spans="2:9" hidden="1">
      <c r="B205" s="15">
        <f>Неделя!A205</f>
        <v>0</v>
      </c>
      <c r="C205" s="15">
        <f>Неделя!B205</f>
        <v>0</v>
      </c>
      <c r="D205" s="15">
        <f>Неделя!C205</f>
        <v>0</v>
      </c>
      <c r="E205" s="15">
        <f>Неделя!D205</f>
        <v>0</v>
      </c>
      <c r="F205" s="15">
        <f>Неделя!E205</f>
        <v>0</v>
      </c>
      <c r="G205" s="15">
        <f>Неделя!F205</f>
        <v>0</v>
      </c>
      <c r="H205" s="15">
        <f>Неделя!G205</f>
        <v>0</v>
      </c>
      <c r="I205" s="15">
        <f>Неделя!K205</f>
        <v>0</v>
      </c>
    </row>
    <row r="206" spans="2:9" hidden="1">
      <c r="B206" s="15">
        <f>Неделя!A206</f>
        <v>0</v>
      </c>
      <c r="C206" s="15">
        <f>Неделя!B206</f>
        <v>0</v>
      </c>
      <c r="D206" s="15">
        <f>Неделя!C206</f>
        <v>0</v>
      </c>
      <c r="E206" s="15">
        <f>Неделя!D206</f>
        <v>0</v>
      </c>
      <c r="F206" s="15">
        <f>Неделя!E206</f>
        <v>0</v>
      </c>
      <c r="G206" s="15">
        <f>Неделя!F206</f>
        <v>0</v>
      </c>
      <c r="H206" s="15">
        <f>Неделя!G206</f>
        <v>0</v>
      </c>
      <c r="I206" s="15">
        <f>Неделя!K206</f>
        <v>0</v>
      </c>
    </row>
    <row r="207" spans="2:9" hidden="1">
      <c r="B207" s="15">
        <f>Неделя!A207</f>
        <v>0</v>
      </c>
      <c r="C207" s="15">
        <f>Неделя!B207</f>
        <v>0</v>
      </c>
      <c r="D207" s="15">
        <f>Неделя!C207</f>
        <v>0</v>
      </c>
      <c r="E207" s="15">
        <f>Неделя!D207</f>
        <v>0</v>
      </c>
      <c r="F207" s="15">
        <f>Неделя!E207</f>
        <v>0</v>
      </c>
      <c r="G207" s="15">
        <f>Неделя!F207</f>
        <v>0</v>
      </c>
      <c r="H207" s="15">
        <f>Неделя!G207</f>
        <v>0</v>
      </c>
      <c r="I207" s="15">
        <f>Неделя!K207</f>
        <v>0</v>
      </c>
    </row>
    <row r="208" spans="2:9" hidden="1">
      <c r="B208" s="15">
        <f>Неделя!A208</f>
        <v>0</v>
      </c>
      <c r="C208" s="15">
        <f>Неделя!B208</f>
        <v>0</v>
      </c>
      <c r="D208" s="15">
        <f>Неделя!C208</f>
        <v>0</v>
      </c>
      <c r="E208" s="15">
        <f>Неделя!D208</f>
        <v>0</v>
      </c>
      <c r="F208" s="15">
        <f>Неделя!E208</f>
        <v>0</v>
      </c>
      <c r="G208" s="15">
        <f>Неделя!F208</f>
        <v>0</v>
      </c>
      <c r="H208" s="15">
        <f>Неделя!G208</f>
        <v>0</v>
      </c>
      <c r="I208" s="15">
        <f>Неделя!K208</f>
        <v>0</v>
      </c>
    </row>
    <row r="209" spans="2:9" hidden="1">
      <c r="B209" s="15">
        <f>Неделя!A209</f>
        <v>0</v>
      </c>
      <c r="C209" s="15">
        <f>Неделя!B209</f>
        <v>0</v>
      </c>
      <c r="D209" s="15">
        <f>Неделя!C209</f>
        <v>0</v>
      </c>
      <c r="E209" s="15">
        <f>Неделя!D209</f>
        <v>0</v>
      </c>
      <c r="F209" s="15">
        <f>Неделя!E209</f>
        <v>0</v>
      </c>
      <c r="G209" s="15">
        <f>Неделя!F209</f>
        <v>0</v>
      </c>
      <c r="H209" s="15">
        <f>Неделя!G209</f>
        <v>0</v>
      </c>
      <c r="I209" s="15">
        <f>Неделя!K209</f>
        <v>0</v>
      </c>
    </row>
    <row r="210" spans="2:9" hidden="1">
      <c r="B210" s="15">
        <f>Неделя!A210</f>
        <v>0</v>
      </c>
      <c r="C210" s="15">
        <f>Неделя!B210</f>
        <v>0</v>
      </c>
      <c r="D210" s="15">
        <f>Неделя!C210</f>
        <v>0</v>
      </c>
      <c r="E210" s="15">
        <f>Неделя!D210</f>
        <v>0</v>
      </c>
      <c r="F210" s="15">
        <f>Неделя!E210</f>
        <v>0</v>
      </c>
      <c r="G210" s="15">
        <f>Неделя!F210</f>
        <v>0</v>
      </c>
      <c r="H210" s="15">
        <f>Неделя!G210</f>
        <v>0</v>
      </c>
      <c r="I210" s="15">
        <f>Неделя!K210</f>
        <v>0</v>
      </c>
    </row>
    <row r="211" spans="2:9" hidden="1">
      <c r="B211" s="15">
        <f>Неделя!A211</f>
        <v>0</v>
      </c>
      <c r="C211" s="15">
        <f>Неделя!B211</f>
        <v>0</v>
      </c>
      <c r="D211" s="15">
        <f>Неделя!C211</f>
        <v>0</v>
      </c>
      <c r="E211" s="15">
        <f>Неделя!D211</f>
        <v>0</v>
      </c>
      <c r="F211" s="15">
        <f>Неделя!E211</f>
        <v>0</v>
      </c>
      <c r="G211" s="15">
        <f>Неделя!F211</f>
        <v>0</v>
      </c>
      <c r="H211" s="15">
        <f>Неделя!G211</f>
        <v>0</v>
      </c>
      <c r="I211" s="15">
        <f>Неделя!K211</f>
        <v>0</v>
      </c>
    </row>
    <row r="212" spans="2:9" hidden="1">
      <c r="B212" s="15">
        <f>Неделя!A212</f>
        <v>0</v>
      </c>
      <c r="C212" s="15">
        <f>Неделя!B212</f>
        <v>0</v>
      </c>
      <c r="D212" s="15">
        <f>Неделя!C212</f>
        <v>0</v>
      </c>
      <c r="E212" s="15">
        <f>Неделя!D212</f>
        <v>0</v>
      </c>
      <c r="F212" s="15">
        <f>Неделя!E212</f>
        <v>0</v>
      </c>
      <c r="G212" s="15">
        <f>Неделя!F212</f>
        <v>0</v>
      </c>
      <c r="H212" s="15">
        <f>Неделя!G212</f>
        <v>0</v>
      </c>
      <c r="I212" s="15">
        <f>Неделя!K212</f>
        <v>0</v>
      </c>
    </row>
    <row r="213" spans="2:9" hidden="1">
      <c r="B213" s="15">
        <f>Неделя!A213</f>
        <v>0</v>
      </c>
      <c r="C213" s="15">
        <f>Неделя!B213</f>
        <v>0</v>
      </c>
      <c r="D213" s="15">
        <f>Неделя!C213</f>
        <v>0</v>
      </c>
      <c r="E213" s="15">
        <f>Неделя!D213</f>
        <v>0</v>
      </c>
      <c r="F213" s="15">
        <f>Неделя!E213</f>
        <v>0</v>
      </c>
      <c r="G213" s="15">
        <f>Неделя!F213</f>
        <v>0</v>
      </c>
      <c r="H213" s="15">
        <f>Неделя!G213</f>
        <v>0</v>
      </c>
      <c r="I213" s="15">
        <f>Неделя!K213</f>
        <v>0</v>
      </c>
    </row>
    <row r="214" spans="2:9" hidden="1">
      <c r="B214" s="15">
        <f>Неделя!A214</f>
        <v>0</v>
      </c>
      <c r="C214" s="15">
        <f>Неделя!B214</f>
        <v>0</v>
      </c>
      <c r="D214" s="15">
        <f>Неделя!C214</f>
        <v>0</v>
      </c>
      <c r="E214" s="15">
        <f>Неделя!D214</f>
        <v>0</v>
      </c>
      <c r="F214" s="15">
        <f>Неделя!E214</f>
        <v>0</v>
      </c>
      <c r="G214" s="15">
        <f>Неделя!F214</f>
        <v>0</v>
      </c>
      <c r="H214" s="15">
        <f>Неделя!G214</f>
        <v>0</v>
      </c>
      <c r="I214" s="15">
        <f>Неделя!K214</f>
        <v>0</v>
      </c>
    </row>
    <row r="215" spans="2:9" hidden="1">
      <c r="B215" s="15">
        <f>Неделя!A215</f>
        <v>0</v>
      </c>
      <c r="C215" s="15">
        <f>Неделя!B215</f>
        <v>0</v>
      </c>
      <c r="D215" s="15">
        <f>Неделя!C215</f>
        <v>0</v>
      </c>
      <c r="E215" s="15">
        <f>Неделя!D215</f>
        <v>0</v>
      </c>
      <c r="F215" s="15">
        <f>Неделя!E215</f>
        <v>0</v>
      </c>
      <c r="G215" s="15">
        <f>Неделя!F215</f>
        <v>0</v>
      </c>
      <c r="H215" s="15">
        <f>Неделя!G215</f>
        <v>0</v>
      </c>
      <c r="I215" s="15">
        <f>Неделя!K215</f>
        <v>0</v>
      </c>
    </row>
    <row r="216" spans="2:9" hidden="1">
      <c r="B216" s="15">
        <f>Неделя!A216</f>
        <v>0</v>
      </c>
      <c r="C216" s="15">
        <f>Неделя!B216</f>
        <v>0</v>
      </c>
      <c r="D216" s="15">
        <f>Неделя!C216</f>
        <v>0</v>
      </c>
      <c r="E216" s="15">
        <f>Неделя!D216</f>
        <v>0</v>
      </c>
      <c r="F216" s="15">
        <f>Неделя!E216</f>
        <v>0</v>
      </c>
      <c r="G216" s="15">
        <f>Неделя!F216</f>
        <v>0</v>
      </c>
      <c r="H216" s="15">
        <f>Неделя!G216</f>
        <v>0</v>
      </c>
      <c r="I216" s="15">
        <f>Неделя!K216</f>
        <v>0</v>
      </c>
    </row>
    <row r="217" spans="2:9" hidden="1">
      <c r="B217" s="15">
        <f>Неделя!A217</f>
        <v>0</v>
      </c>
      <c r="C217" s="15">
        <f>Неделя!B217</f>
        <v>0</v>
      </c>
      <c r="D217" s="15">
        <f>Неделя!C217</f>
        <v>0</v>
      </c>
      <c r="E217" s="15">
        <f>Неделя!D217</f>
        <v>0</v>
      </c>
      <c r="F217" s="15">
        <f>Неделя!E217</f>
        <v>0</v>
      </c>
      <c r="G217" s="15">
        <f>Неделя!F217</f>
        <v>0</v>
      </c>
      <c r="H217" s="15">
        <f>Неделя!G217</f>
        <v>0</v>
      </c>
      <c r="I217" s="15">
        <f>Неделя!K217</f>
        <v>0</v>
      </c>
    </row>
    <row r="218" spans="2:9" hidden="1">
      <c r="B218" s="15">
        <f>Неделя!A218</f>
        <v>0</v>
      </c>
      <c r="C218" s="15">
        <f>Неделя!B218</f>
        <v>0</v>
      </c>
      <c r="D218" s="15">
        <f>Неделя!C218</f>
        <v>0</v>
      </c>
      <c r="E218" s="15">
        <f>Неделя!D218</f>
        <v>0</v>
      </c>
      <c r="F218" s="15">
        <f>Неделя!E218</f>
        <v>0</v>
      </c>
      <c r="G218" s="15">
        <f>Неделя!F218</f>
        <v>0</v>
      </c>
      <c r="H218" s="15">
        <f>Неделя!G218</f>
        <v>0</v>
      </c>
      <c r="I218" s="15">
        <f>Неделя!K218</f>
        <v>0</v>
      </c>
    </row>
    <row r="219" spans="2:9" hidden="1">
      <c r="B219" s="15">
        <f>Неделя!A219</f>
        <v>0</v>
      </c>
      <c r="C219" s="15">
        <f>Неделя!B219</f>
        <v>0</v>
      </c>
      <c r="D219" s="15">
        <f>Неделя!C219</f>
        <v>0</v>
      </c>
      <c r="E219" s="15">
        <f>Неделя!D219</f>
        <v>0</v>
      </c>
      <c r="F219" s="15">
        <f>Неделя!E219</f>
        <v>0</v>
      </c>
      <c r="G219" s="15">
        <f>Неделя!F219</f>
        <v>0</v>
      </c>
      <c r="H219" s="15">
        <f>Неделя!G219</f>
        <v>0</v>
      </c>
      <c r="I219" s="15">
        <f>Неделя!K219</f>
        <v>0</v>
      </c>
    </row>
    <row r="220" spans="2:9" hidden="1">
      <c r="B220" s="15">
        <f>Неделя!A220</f>
        <v>0</v>
      </c>
      <c r="C220" s="15">
        <f>Неделя!B220</f>
        <v>0</v>
      </c>
      <c r="D220" s="15">
        <f>Неделя!C220</f>
        <v>0</v>
      </c>
      <c r="E220" s="15">
        <f>Неделя!D220</f>
        <v>0</v>
      </c>
      <c r="F220" s="15">
        <f>Неделя!E220</f>
        <v>0</v>
      </c>
      <c r="G220" s="15">
        <f>Неделя!F220</f>
        <v>0</v>
      </c>
      <c r="H220" s="15">
        <f>Неделя!G220</f>
        <v>0</v>
      </c>
      <c r="I220" s="15">
        <f>Неделя!K220</f>
        <v>0</v>
      </c>
    </row>
    <row r="221" spans="2:9" hidden="1">
      <c r="B221" s="15">
        <f>Неделя!A221</f>
        <v>0</v>
      </c>
      <c r="C221" s="15">
        <f>Неделя!B221</f>
        <v>0</v>
      </c>
      <c r="D221" s="15">
        <f>Неделя!C221</f>
        <v>0</v>
      </c>
      <c r="E221" s="15">
        <f>Неделя!D221</f>
        <v>0</v>
      </c>
      <c r="F221" s="15">
        <f>Неделя!E221</f>
        <v>0</v>
      </c>
      <c r="G221" s="15">
        <f>Неделя!F221</f>
        <v>0</v>
      </c>
      <c r="H221" s="15">
        <f>Неделя!G221</f>
        <v>0</v>
      </c>
      <c r="I221" s="15">
        <f>Неделя!K221</f>
        <v>0</v>
      </c>
    </row>
    <row r="222" spans="2:9" hidden="1">
      <c r="B222" s="15">
        <f>Неделя!A222</f>
        <v>0</v>
      </c>
      <c r="C222" s="15">
        <f>Неделя!B222</f>
        <v>0</v>
      </c>
      <c r="D222" s="15">
        <f>Неделя!C222</f>
        <v>0</v>
      </c>
      <c r="E222" s="15">
        <f>Неделя!D222</f>
        <v>0</v>
      </c>
      <c r="F222" s="15">
        <f>Неделя!E222</f>
        <v>0</v>
      </c>
      <c r="G222" s="15">
        <f>Неделя!F222</f>
        <v>0</v>
      </c>
      <c r="H222" s="15">
        <f>Неделя!G222</f>
        <v>0</v>
      </c>
      <c r="I222" s="15">
        <f>Неделя!K222</f>
        <v>0</v>
      </c>
    </row>
    <row r="223" spans="2:9" hidden="1">
      <c r="B223" s="15">
        <f>Неделя!A223</f>
        <v>0</v>
      </c>
      <c r="C223" s="15">
        <f>Неделя!B223</f>
        <v>0</v>
      </c>
      <c r="D223" s="15">
        <f>Неделя!C223</f>
        <v>0</v>
      </c>
      <c r="E223" s="15">
        <f>Неделя!D223</f>
        <v>0</v>
      </c>
      <c r="F223" s="15">
        <f>Неделя!E223</f>
        <v>0</v>
      </c>
      <c r="G223" s="15">
        <f>Неделя!F223</f>
        <v>0</v>
      </c>
      <c r="H223" s="15">
        <f>Неделя!G223</f>
        <v>0</v>
      </c>
      <c r="I223" s="15">
        <f>Неделя!K223</f>
        <v>0</v>
      </c>
    </row>
    <row r="224" spans="2:9" hidden="1">
      <c r="B224" s="15">
        <f>Неделя!A224</f>
        <v>0</v>
      </c>
      <c r="C224" s="15">
        <f>Неделя!B224</f>
        <v>0</v>
      </c>
      <c r="D224" s="15">
        <f>Неделя!C224</f>
        <v>0</v>
      </c>
      <c r="E224" s="15">
        <f>Неделя!D224</f>
        <v>0</v>
      </c>
      <c r="F224" s="15">
        <f>Неделя!E224</f>
        <v>0</v>
      </c>
      <c r="G224" s="15">
        <f>Неделя!F224</f>
        <v>0</v>
      </c>
      <c r="H224" s="15">
        <f>Неделя!G224</f>
        <v>0</v>
      </c>
      <c r="I224" s="15">
        <f>Неделя!K224</f>
        <v>0</v>
      </c>
    </row>
    <row r="225" spans="2:9" hidden="1">
      <c r="B225" s="15">
        <f>Неделя!A225</f>
        <v>0</v>
      </c>
      <c r="C225" s="15">
        <f>Неделя!B225</f>
        <v>0</v>
      </c>
      <c r="D225" s="15">
        <f>Неделя!C225</f>
        <v>0</v>
      </c>
      <c r="E225" s="15">
        <f>Неделя!D225</f>
        <v>0</v>
      </c>
      <c r="F225" s="15">
        <f>Неделя!E225</f>
        <v>0</v>
      </c>
      <c r="G225" s="15">
        <f>Неделя!F225</f>
        <v>0</v>
      </c>
      <c r="H225" s="15">
        <f>Неделя!G225</f>
        <v>0</v>
      </c>
      <c r="I225" s="15">
        <f>Неделя!K225</f>
        <v>0</v>
      </c>
    </row>
    <row r="226" spans="2:9" hidden="1">
      <c r="B226" s="15">
        <f>Неделя!A226</f>
        <v>0</v>
      </c>
      <c r="C226" s="15">
        <f>Неделя!B226</f>
        <v>0</v>
      </c>
      <c r="D226" s="15">
        <f>Неделя!C226</f>
        <v>0</v>
      </c>
      <c r="E226" s="15">
        <f>Неделя!D226</f>
        <v>0</v>
      </c>
      <c r="F226" s="15">
        <f>Неделя!E226</f>
        <v>0</v>
      </c>
      <c r="G226" s="15">
        <f>Неделя!F226</f>
        <v>0</v>
      </c>
      <c r="H226" s="15">
        <f>Неделя!G226</f>
        <v>0</v>
      </c>
      <c r="I226" s="15">
        <f>Неделя!K226</f>
        <v>0</v>
      </c>
    </row>
    <row r="227" spans="2:9" hidden="1">
      <c r="B227" s="15">
        <f>Неделя!A227</f>
        <v>0</v>
      </c>
      <c r="C227" s="15">
        <f>Неделя!B227</f>
        <v>0</v>
      </c>
      <c r="D227" s="15">
        <f>Неделя!C227</f>
        <v>0</v>
      </c>
      <c r="E227" s="15">
        <f>Неделя!D227</f>
        <v>0</v>
      </c>
      <c r="F227" s="15">
        <f>Неделя!E227</f>
        <v>0</v>
      </c>
      <c r="G227" s="15">
        <f>Неделя!F227</f>
        <v>0</v>
      </c>
      <c r="H227" s="15">
        <f>Неделя!G227</f>
        <v>0</v>
      </c>
      <c r="I227" s="15">
        <f>Неделя!K227</f>
        <v>0</v>
      </c>
    </row>
    <row r="228" spans="2:9" hidden="1">
      <c r="B228" s="15">
        <f>Неделя!A228</f>
        <v>0</v>
      </c>
      <c r="C228" s="15">
        <f>Неделя!B228</f>
        <v>0</v>
      </c>
      <c r="D228" s="15">
        <f>Неделя!C228</f>
        <v>0</v>
      </c>
      <c r="E228" s="15">
        <f>Неделя!D228</f>
        <v>0</v>
      </c>
      <c r="F228" s="15">
        <f>Неделя!E228</f>
        <v>0</v>
      </c>
      <c r="G228" s="15">
        <f>Неделя!F228</f>
        <v>0</v>
      </c>
      <c r="H228" s="15">
        <f>Неделя!G228</f>
        <v>0</v>
      </c>
      <c r="I228" s="15">
        <f>Неделя!K228</f>
        <v>0</v>
      </c>
    </row>
    <row r="229" spans="2:9" hidden="1">
      <c r="B229" s="15">
        <f>Неделя!A229</f>
        <v>0</v>
      </c>
      <c r="C229" s="15">
        <f>Неделя!B229</f>
        <v>0</v>
      </c>
      <c r="D229" s="15">
        <f>Неделя!C229</f>
        <v>0</v>
      </c>
      <c r="E229" s="15">
        <f>Неделя!D229</f>
        <v>0</v>
      </c>
      <c r="F229" s="15">
        <f>Неделя!E229</f>
        <v>0</v>
      </c>
      <c r="G229" s="15">
        <f>Неделя!F229</f>
        <v>0</v>
      </c>
      <c r="H229" s="15">
        <f>Неделя!G229</f>
        <v>0</v>
      </c>
      <c r="I229" s="15">
        <f>Неделя!K229</f>
        <v>0</v>
      </c>
    </row>
    <row r="230" spans="2:9" hidden="1">
      <c r="B230" s="15">
        <f>Неделя!A230</f>
        <v>0</v>
      </c>
      <c r="C230" s="15">
        <f>Неделя!B230</f>
        <v>0</v>
      </c>
      <c r="D230" s="15">
        <f>Неделя!C230</f>
        <v>0</v>
      </c>
      <c r="E230" s="15">
        <f>Неделя!D230</f>
        <v>0</v>
      </c>
      <c r="F230" s="15">
        <f>Неделя!E230</f>
        <v>0</v>
      </c>
      <c r="G230" s="15">
        <f>Неделя!F230</f>
        <v>0</v>
      </c>
      <c r="H230" s="15">
        <f>Неделя!G230</f>
        <v>0</v>
      </c>
      <c r="I230" s="15">
        <f>Неделя!K230</f>
        <v>0</v>
      </c>
    </row>
    <row r="231" spans="2:9" hidden="1">
      <c r="B231" s="15">
        <f>Неделя!A231</f>
        <v>0</v>
      </c>
      <c r="C231" s="15">
        <f>Неделя!B231</f>
        <v>0</v>
      </c>
      <c r="D231" s="15">
        <f>Неделя!C231</f>
        <v>0</v>
      </c>
      <c r="E231" s="15">
        <f>Неделя!D231</f>
        <v>0</v>
      </c>
      <c r="F231" s="15">
        <f>Неделя!E231</f>
        <v>0</v>
      </c>
      <c r="G231" s="15">
        <f>Неделя!F231</f>
        <v>0</v>
      </c>
      <c r="H231" s="15">
        <f>Неделя!G231</f>
        <v>0</v>
      </c>
      <c r="I231" s="15">
        <f>Неделя!K231</f>
        <v>0</v>
      </c>
    </row>
    <row r="232" spans="2:9" hidden="1">
      <c r="B232" s="15">
        <f>Неделя!A232</f>
        <v>0</v>
      </c>
      <c r="C232" s="15">
        <f>Неделя!B232</f>
        <v>0</v>
      </c>
      <c r="D232" s="15">
        <f>Неделя!C232</f>
        <v>0</v>
      </c>
      <c r="E232" s="15">
        <f>Неделя!D232</f>
        <v>0</v>
      </c>
      <c r="F232" s="15">
        <f>Неделя!E232</f>
        <v>0</v>
      </c>
      <c r="G232" s="15">
        <f>Неделя!F232</f>
        <v>0</v>
      </c>
      <c r="H232" s="15">
        <f>Неделя!G232</f>
        <v>0</v>
      </c>
      <c r="I232" s="15">
        <f>Неделя!K232</f>
        <v>0</v>
      </c>
    </row>
    <row r="233" spans="2:9" hidden="1">
      <c r="B233" s="15">
        <f>Неделя!A233</f>
        <v>0</v>
      </c>
      <c r="C233" s="15">
        <f>Неделя!B233</f>
        <v>0</v>
      </c>
      <c r="D233" s="15">
        <f>Неделя!C233</f>
        <v>0</v>
      </c>
      <c r="E233" s="15">
        <f>Неделя!D233</f>
        <v>0</v>
      </c>
      <c r="F233" s="15">
        <f>Неделя!E233</f>
        <v>0</v>
      </c>
      <c r="G233" s="15">
        <f>Неделя!F233</f>
        <v>0</v>
      </c>
      <c r="H233" s="15">
        <f>Неделя!G233</f>
        <v>0</v>
      </c>
      <c r="I233" s="15">
        <f>Неделя!K233</f>
        <v>0</v>
      </c>
    </row>
    <row r="65368" ht="18.2" customHeight="1"/>
    <row r="65456" ht="18.2" customHeight="1"/>
  </sheetData>
  <sheetProtection selectLockedCells="1" selectUnlockedCells="1"/>
  <autoFilter ref="B1:I233">
    <filterColumn colId="7">
      <filters>
        <filter val="1"/>
        <filter val="ср"/>
      </filters>
    </filterColumn>
  </autoFilter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65314"/>
  <sheetViews>
    <sheetView zoomScale="73" zoomScaleNormal="73" workbookViewId="0">
      <selection activeCell="H1" sqref="H1"/>
    </sheetView>
  </sheetViews>
  <sheetFormatPr defaultColWidth="9" defaultRowHeight="15"/>
  <cols>
    <col min="1" max="1" width="54.140625" style="14" customWidth="1"/>
    <col min="2" max="2" width="9" style="14"/>
    <col min="3" max="4" width="4" style="14" customWidth="1"/>
    <col min="5" max="5" width="6" style="14" customWidth="1"/>
    <col min="6" max="6" width="4" style="14" customWidth="1"/>
    <col min="7" max="16384" width="9" style="14"/>
  </cols>
  <sheetData>
    <row r="1" spans="1:8">
      <c r="A1" s="15" t="str">
        <f>Неделя!A1</f>
        <v>Велес гоголя 180</v>
      </c>
      <c r="B1" s="15">
        <f>Неделя!B1</f>
        <v>2.0699999999999998</v>
      </c>
      <c r="C1" s="15">
        <f>Неделя!C1</f>
        <v>1</v>
      </c>
      <c r="D1" s="15">
        <f>Неделя!D1</f>
        <v>0</v>
      </c>
      <c r="E1" s="15">
        <f>Неделя!E1</f>
        <v>0</v>
      </c>
      <c r="F1" s="15">
        <f>Неделя!F1</f>
        <v>0</v>
      </c>
      <c r="G1" s="15">
        <f>Неделя!G1</f>
        <v>0</v>
      </c>
      <c r="H1" s="15">
        <f>Неделя!L1</f>
        <v>1</v>
      </c>
    </row>
    <row r="2" spans="1:8">
      <c r="A2" s="15" t="str">
        <f>Неделя!A2</f>
        <v>Велес красина 180</v>
      </c>
      <c r="B2" s="15">
        <f>Неделя!B2</f>
        <v>2.0699999999999998</v>
      </c>
      <c r="C2" s="15">
        <f>Неделя!C2</f>
        <v>1</v>
      </c>
      <c r="D2" s="15">
        <f>Неделя!D2</f>
        <v>0</v>
      </c>
      <c r="E2" s="15">
        <f>Неделя!E2</f>
        <v>0</v>
      </c>
      <c r="F2" s="15">
        <f>Неделя!F2</f>
        <v>0</v>
      </c>
      <c r="G2" s="15">
        <f>Неделя!G2</f>
        <v>0</v>
      </c>
      <c r="H2" s="15">
        <f>Неделя!L2</f>
        <v>1</v>
      </c>
    </row>
    <row r="3" spans="1:8">
      <c r="A3" s="15" t="str">
        <f>Неделя!A3</f>
        <v>департамент финансов советская 66-150 резаный</v>
      </c>
      <c r="B3" s="15">
        <f>Неделя!B3</f>
        <v>1.2749999999999999</v>
      </c>
      <c r="C3" s="15">
        <f>Неделя!C3</f>
        <v>0</v>
      </c>
      <c r="D3" s="15">
        <f>Неделя!D3</f>
        <v>1</v>
      </c>
      <c r="E3" s="15">
        <f>Неделя!E3</f>
        <v>0</v>
      </c>
      <c r="F3" s="15">
        <f>Неделя!F3</f>
        <v>0</v>
      </c>
      <c r="G3" s="15">
        <f>Неделя!G3</f>
        <v>0</v>
      </c>
      <c r="H3" s="15">
        <f>Неделя!L3</f>
        <v>1</v>
      </c>
    </row>
    <row r="4" spans="1:8">
      <c r="A4" s="15" t="str">
        <f>Неделя!A4</f>
        <v>метрополис к. Маркса -2x180, 2x150</v>
      </c>
      <c r="B4" s="15">
        <f>Неделя!B4</f>
        <v>6.6899999999999995</v>
      </c>
      <c r="C4" s="15">
        <f>Неделя!C4</f>
        <v>2</v>
      </c>
      <c r="D4" s="15">
        <f>Неделя!D4</f>
        <v>2</v>
      </c>
      <c r="E4" s="15">
        <f>Неделя!E4</f>
        <v>0</v>
      </c>
      <c r="F4" s="15">
        <f>Неделя!F4</f>
        <v>0</v>
      </c>
      <c r="G4" s="15">
        <f>Неделя!G4</f>
        <v>0</v>
      </c>
      <c r="H4" s="15">
        <f>Неделя!L4</f>
        <v>1</v>
      </c>
    </row>
    <row r="5" spans="1:8">
      <c r="A5" s="15" t="str">
        <f>Неделя!A5</f>
        <v>метрополис Москва-2х180</v>
      </c>
      <c r="B5" s="15">
        <f>Неделя!B5</f>
        <v>4.1399999999999997</v>
      </c>
      <c r="C5" s="15">
        <f>Неделя!C5</f>
        <v>2</v>
      </c>
      <c r="D5" s="15">
        <f>Неделя!D5</f>
        <v>0</v>
      </c>
      <c r="E5" s="15">
        <f>Неделя!E5</f>
        <v>0</v>
      </c>
      <c r="F5" s="15">
        <f>Неделя!F5</f>
        <v>0</v>
      </c>
      <c r="G5" s="15">
        <f>Неделя!G5</f>
        <v>0</v>
      </c>
      <c r="H5" s="15">
        <f>Неделя!L5</f>
        <v>1</v>
      </c>
    </row>
    <row r="6" spans="1:8">
      <c r="A6" s="15" t="str">
        <f>Неделя!A6</f>
        <v>МТС ленина 6 180</v>
      </c>
      <c r="B6" s="15">
        <f>Неделя!B6</f>
        <v>2.0699999999999998</v>
      </c>
      <c r="C6" s="15">
        <f>Неделя!C6</f>
        <v>1</v>
      </c>
      <c r="D6" s="15">
        <f>Неделя!D6</f>
        <v>0</v>
      </c>
      <c r="E6" s="15">
        <f>Неделя!E6</f>
        <v>0</v>
      </c>
      <c r="F6" s="15">
        <f>Неделя!F6</f>
        <v>0</v>
      </c>
      <c r="G6" s="15">
        <f>Неделя!G6</f>
        <v>0</v>
      </c>
      <c r="H6" s="15">
        <f>Неделя!L6</f>
        <v>1</v>
      </c>
    </row>
    <row r="7" spans="1:8">
      <c r="A7" s="15" t="str">
        <f>Неделя!A7</f>
        <v>пальмира Ленина 5- 200 новый  150 нов</v>
      </c>
      <c r="B7" s="15">
        <f>Неделя!B7</f>
        <v>3.3449999999999998</v>
      </c>
      <c r="C7" s="15">
        <f>Неделя!C7</f>
        <v>1</v>
      </c>
      <c r="D7" s="15">
        <f>Неделя!D7</f>
        <v>1</v>
      </c>
      <c r="E7" s="15">
        <f>Неделя!E7</f>
        <v>0</v>
      </c>
      <c r="F7" s="15">
        <f>Неделя!F7</f>
        <v>0</v>
      </c>
      <c r="G7" s="15">
        <f>Неделя!G7</f>
        <v>0</v>
      </c>
      <c r="H7" s="15">
        <f>Неделя!L7</f>
        <v>1</v>
      </c>
    </row>
    <row r="8" spans="1:8">
      <c r="A8" s="15" t="str">
        <f>Неделя!A8</f>
        <v>чунунок к. Мяготина-2x180</v>
      </c>
      <c r="B8" s="15">
        <f>Неделя!B8</f>
        <v>4.1399999999999997</v>
      </c>
      <c r="C8" s="15">
        <f>Неделя!C8</f>
        <v>2</v>
      </c>
      <c r="D8" s="15">
        <f>Неделя!D8</f>
        <v>0</v>
      </c>
      <c r="E8" s="15">
        <f>Неделя!E8</f>
        <v>0</v>
      </c>
      <c r="F8" s="15">
        <f>Неделя!F8</f>
        <v>0</v>
      </c>
      <c r="G8" s="15">
        <f>Неделя!G8</f>
        <v>0</v>
      </c>
      <c r="H8" s="15">
        <f>Неделя!L8</f>
        <v>1</v>
      </c>
    </row>
    <row r="9" spans="1:8">
      <c r="A9" s="15" t="str">
        <f>Неделя!A9</f>
        <v>Сбер академия 2х150 коричнев стар</v>
      </c>
      <c r="B9" s="15">
        <f>Неделя!B9</f>
        <v>2.5499999999999998</v>
      </c>
      <c r="C9" s="15">
        <f>Неделя!C9</f>
        <v>0</v>
      </c>
      <c r="D9" s="15">
        <f>Неделя!D9</f>
        <v>2</v>
      </c>
      <c r="E9" s="15">
        <f>Неделя!E9</f>
        <v>0</v>
      </c>
      <c r="F9" s="15">
        <f>Неделя!F9</f>
        <v>0</v>
      </c>
      <c r="G9" s="15">
        <f>Неделя!G9</f>
        <v>0</v>
      </c>
      <c r="H9" s="15">
        <f>Неделя!L9</f>
        <v>1</v>
      </c>
    </row>
    <row r="10" spans="1:8">
      <c r="A10" s="15" t="str">
        <f>Неделя!A10</f>
        <v>Сбер красина 2х150</v>
      </c>
      <c r="B10" s="15">
        <f>Неделя!B10</f>
        <v>2.5499999999999998</v>
      </c>
      <c r="C10" s="15">
        <f>Неделя!C10</f>
        <v>0</v>
      </c>
      <c r="D10" s="15">
        <f>Неделя!D10</f>
        <v>2</v>
      </c>
      <c r="E10" s="15">
        <f>Неделя!E10</f>
        <v>0</v>
      </c>
      <c r="F10" s="15">
        <f>Неделя!F10</f>
        <v>0</v>
      </c>
      <c r="G10" s="15">
        <f>Неделя!G10</f>
        <v>0</v>
      </c>
      <c r="H10" s="15">
        <f>Неделя!L10</f>
        <v>1</v>
      </c>
    </row>
    <row r="11" spans="1:8" hidden="1">
      <c r="A11" s="15" t="str">
        <f>Неделя!A11</f>
        <v>сбербанк гоголя 98-3ий вход 1 х 150</v>
      </c>
      <c r="B11" s="15">
        <f>Неделя!B11</f>
        <v>1.2749999999999999</v>
      </c>
      <c r="C11" s="15">
        <f>Неделя!C11</f>
        <v>2</v>
      </c>
      <c r="D11" s="15">
        <f>Неделя!D11</f>
        <v>5</v>
      </c>
      <c r="E11" s="15">
        <f>Неделя!E11</f>
        <v>0</v>
      </c>
      <c r="F11" s="15">
        <f>Неделя!F11</f>
        <v>0</v>
      </c>
      <c r="G11" s="15">
        <f>Неделя!G11</f>
        <v>0</v>
      </c>
      <c r="H11" s="15">
        <f>Неделя!L11</f>
        <v>0</v>
      </c>
    </row>
    <row r="12" spans="1:8">
      <c r="A12" s="15" t="str">
        <f>Неделя!A12</f>
        <v>сбербанк гоголя103- 2х150 коричневые</v>
      </c>
      <c r="B12" s="15">
        <f>Неделя!B12</f>
        <v>2.5499999999999998</v>
      </c>
      <c r="C12" s="15">
        <f>Неделя!C12</f>
        <v>0</v>
      </c>
      <c r="D12" s="15">
        <f>Неделя!D12</f>
        <v>2</v>
      </c>
      <c r="E12" s="15">
        <f>Неделя!E12</f>
        <v>0</v>
      </c>
      <c r="F12" s="15">
        <f>Неделя!F12</f>
        <v>0</v>
      </c>
      <c r="G12" s="15">
        <f>Неделя!G12</f>
        <v>0</v>
      </c>
      <c r="H12" s="15">
        <f>Неделя!L12</f>
        <v>1</v>
      </c>
    </row>
    <row r="13" spans="1:8" hidden="1">
      <c r="A13" s="15" t="str">
        <f>Неделя!A13</f>
        <v>Велес дзержинского 180</v>
      </c>
      <c r="B13" s="15">
        <f>Неделя!B13</f>
        <v>2.0699999999999998</v>
      </c>
      <c r="C13" s="15">
        <f>Неделя!C13</f>
        <v>1</v>
      </c>
      <c r="D13" s="15">
        <f>Неделя!D13</f>
        <v>0</v>
      </c>
      <c r="E13" s="15">
        <f>Неделя!E13</f>
        <v>0</v>
      </c>
      <c r="F13" s="15">
        <f>Неделя!F13</f>
        <v>0</v>
      </c>
      <c r="G13" s="15">
        <f>Неделя!G13</f>
        <v>0</v>
      </c>
      <c r="H13" s="15">
        <f>Неделя!L13</f>
        <v>0</v>
      </c>
    </row>
    <row r="14" spans="1:8" hidden="1">
      <c r="A14" s="15" t="str">
        <f>Неделя!A14</f>
        <v>велес юбилейный-150 новый</v>
      </c>
      <c r="B14" s="15">
        <f>Неделя!B14</f>
        <v>1.2749999999999999</v>
      </c>
      <c r="C14" s="15">
        <f>Неделя!C14</f>
        <v>0</v>
      </c>
      <c r="D14" s="15">
        <f>Неделя!D14</f>
        <v>1</v>
      </c>
      <c r="E14" s="15">
        <f>Неделя!E14</f>
        <v>0</v>
      </c>
      <c r="F14" s="15">
        <f>Неделя!F14</f>
        <v>0</v>
      </c>
      <c r="G14" s="15">
        <f>Неделя!G14</f>
        <v>0</v>
      </c>
      <c r="H14" s="15">
        <f>Неделя!L14</f>
        <v>0</v>
      </c>
    </row>
    <row r="15" spans="1:8" hidden="1">
      <c r="A15" s="15" t="str">
        <f>Неделя!A15</f>
        <v>газпроммежрегионгаз- 2x150, 180 </v>
      </c>
      <c r="B15" s="15">
        <f>Неделя!B15</f>
        <v>4.6199999999999992</v>
      </c>
      <c r="C15" s="15">
        <f>Неделя!C15</f>
        <v>1</v>
      </c>
      <c r="D15" s="15">
        <f>Неделя!D15</f>
        <v>0</v>
      </c>
      <c r="E15" s="15">
        <f>Неделя!E15</f>
        <v>0</v>
      </c>
      <c r="F15" s="15">
        <f>Неделя!F15</f>
        <v>0</v>
      </c>
      <c r="G15" s="15">
        <f>Неделя!G15</f>
        <v>0</v>
      </c>
      <c r="H15" s="15">
        <f>Неделя!L15</f>
        <v>0</v>
      </c>
    </row>
    <row r="16" spans="1:8" hidden="1">
      <c r="A16" s="15" t="str">
        <f>Неделя!A16</f>
        <v>Кижк 400 рез, 180</v>
      </c>
      <c r="B16" s="15">
        <f>Неделя!B16</f>
        <v>6.07</v>
      </c>
      <c r="C16" s="15">
        <f>Неделя!C16</f>
        <v>1</v>
      </c>
      <c r="D16" s="15">
        <f>Неделя!D16</f>
        <v>0</v>
      </c>
      <c r="E16" s="15">
        <f>Неделя!E16</f>
        <v>0</v>
      </c>
      <c r="F16" s="15">
        <f>Неделя!F16</f>
        <v>1</v>
      </c>
      <c r="G16" s="15">
        <f>Неделя!G16</f>
        <v>0</v>
      </c>
      <c r="H16" s="15">
        <f>Неделя!L16</f>
        <v>0</v>
      </c>
    </row>
    <row r="17" spans="1:8" hidden="1">
      <c r="A17" s="15" t="str">
        <f>Неделя!A17</f>
        <v>кодак Кирова-150 старые </v>
      </c>
      <c r="B17" s="15">
        <f>Неделя!B17</f>
        <v>1.2749999999999999</v>
      </c>
      <c r="C17" s="15">
        <f>Неделя!C17</f>
        <v>0</v>
      </c>
      <c r="D17" s="15">
        <f>Неделя!D17</f>
        <v>1</v>
      </c>
      <c r="E17" s="15">
        <f>Неделя!E17</f>
        <v>0</v>
      </c>
      <c r="F17" s="15">
        <f>Неделя!F17</f>
        <v>0</v>
      </c>
      <c r="G17" s="15">
        <f>Неделя!G17</f>
        <v>0</v>
      </c>
      <c r="H17" s="15">
        <f>Неделя!L17</f>
        <v>0</v>
      </c>
    </row>
    <row r="18" spans="1:8" hidden="1">
      <c r="A18" s="15" t="str">
        <f>Неделя!A18</f>
        <v>мегаблин гоголя-180 </v>
      </c>
      <c r="B18" s="15">
        <f>Неделя!B18</f>
        <v>2.0699999999999998</v>
      </c>
      <c r="C18" s="15">
        <f>Неделя!C18</f>
        <v>1</v>
      </c>
      <c r="D18" s="15">
        <f>Неделя!D18</f>
        <v>0</v>
      </c>
      <c r="E18" s="15">
        <f>Неделя!E18</f>
        <v>0</v>
      </c>
      <c r="F18" s="15">
        <f>Неделя!F18</f>
        <v>0</v>
      </c>
      <c r="G18" s="15">
        <f>Неделя!G18</f>
        <v>0</v>
      </c>
      <c r="H18" s="15">
        <f>Неделя!L18</f>
        <v>0</v>
      </c>
    </row>
    <row r="19" spans="1:8" ht="18.2" hidden="1" customHeight="1">
      <c r="A19" s="15" t="str">
        <f>Неделя!A19</f>
        <v>Монетка гоголя 103 -180</v>
      </c>
      <c r="B19" s="15">
        <f>Неделя!B19</f>
        <v>2.0699999999999998</v>
      </c>
      <c r="C19" s="15">
        <f>Неделя!C19</f>
        <v>1</v>
      </c>
      <c r="D19" s="15">
        <f>Неделя!D19</f>
        <v>0</v>
      </c>
      <c r="E19" s="15">
        <f>Неделя!E19</f>
        <v>0</v>
      </c>
      <c r="F19" s="15">
        <f>Неделя!F19</f>
        <v>0</v>
      </c>
      <c r="G19" s="15">
        <f>Неделя!G19</f>
        <v>0</v>
      </c>
      <c r="H19" s="15">
        <f>Неделя!L19</f>
        <v>0</v>
      </c>
    </row>
    <row r="20" spans="1:8" hidden="1">
      <c r="A20" s="15" t="str">
        <f>Неделя!A20</f>
        <v>Монетка кирова 180</v>
      </c>
      <c r="B20" s="15">
        <f>Неделя!B20</f>
        <v>2.0699999999999998</v>
      </c>
      <c r="C20" s="15">
        <f>Неделя!C20</f>
        <v>1</v>
      </c>
      <c r="D20" s="15">
        <f>Неделя!D20</f>
        <v>0</v>
      </c>
      <c r="E20" s="15">
        <f>Неделя!E20</f>
        <v>0</v>
      </c>
      <c r="F20" s="15">
        <f>Неделя!F20</f>
        <v>0</v>
      </c>
      <c r="G20" s="15">
        <f>Неделя!G20</f>
        <v>0</v>
      </c>
      <c r="H20" s="15">
        <f>Неделя!L20</f>
        <v>0</v>
      </c>
    </row>
    <row r="21" spans="1:8" hidden="1">
      <c r="A21" s="15" t="str">
        <f>Неделя!A21</f>
        <v>Монетка красина 180</v>
      </c>
      <c r="B21" s="15">
        <f>Неделя!B21</f>
        <v>2.0699999999999998</v>
      </c>
      <c r="C21" s="15">
        <f>Неделя!C21</f>
        <v>1</v>
      </c>
      <c r="D21" s="15">
        <f>Неделя!D21</f>
        <v>0</v>
      </c>
      <c r="E21" s="15">
        <f>Неделя!E21</f>
        <v>0</v>
      </c>
      <c r="F21" s="15">
        <f>Неделя!F21</f>
        <v>0</v>
      </c>
      <c r="G21" s="15">
        <f>Неделя!G21</f>
        <v>0</v>
      </c>
      <c r="H21" s="15">
        <f>Неделя!L21</f>
        <v>0</v>
      </c>
    </row>
    <row r="22" spans="1:8" hidden="1">
      <c r="A22" s="15" t="str">
        <f>Неделя!A22</f>
        <v>Монетка пушкина 49-180</v>
      </c>
      <c r="B22" s="15">
        <f>Неделя!B22</f>
        <v>2.0699999999999998</v>
      </c>
      <c r="C22" s="15">
        <f>Неделя!C22</f>
        <v>1</v>
      </c>
      <c r="D22" s="15">
        <f>Неделя!D22</f>
        <v>0</v>
      </c>
      <c r="E22" s="15">
        <f>Неделя!E22</f>
        <v>0</v>
      </c>
      <c r="F22" s="15">
        <f>Неделя!F22</f>
        <v>0</v>
      </c>
      <c r="G22" s="15">
        <f>Неделя!G22</f>
        <v>0</v>
      </c>
      <c r="H22" s="15">
        <f>Неделя!L22</f>
        <v>0</v>
      </c>
    </row>
    <row r="23" spans="1:8" hidden="1">
      <c r="A23" s="15" t="str">
        <f>Неделя!A23</f>
        <v>Монтка Ленина М Горько 180</v>
      </c>
      <c r="B23" s="15">
        <f>Неделя!B23</f>
        <v>2.0699999999999998</v>
      </c>
      <c r="C23" s="15">
        <f>Неделя!C23</f>
        <v>1</v>
      </c>
      <c r="D23" s="15">
        <f>Неделя!D23</f>
        <v>0</v>
      </c>
      <c r="E23" s="15">
        <f>Неделя!E23</f>
        <v>0</v>
      </c>
      <c r="F23" s="15">
        <f>Неделя!F23</f>
        <v>0</v>
      </c>
      <c r="G23" s="15">
        <f>Неделя!G23</f>
        <v>0</v>
      </c>
      <c r="H23" s="15">
        <f>Неделя!L23</f>
        <v>0</v>
      </c>
    </row>
    <row r="24" spans="1:8" hidden="1">
      <c r="A24" s="15" t="str">
        <f>Неделя!A24</f>
        <v>Мясной к. маркса 150 рез</v>
      </c>
      <c r="B24" s="15">
        <f>Неделя!B24</f>
        <v>1.2749999999999999</v>
      </c>
      <c r="C24" s="15">
        <f>Неделя!C24</f>
        <v>0</v>
      </c>
      <c r="D24" s="15">
        <f>Неделя!D24</f>
        <v>1</v>
      </c>
      <c r="E24" s="15">
        <f>Неделя!E24</f>
        <v>0</v>
      </c>
      <c r="F24" s="15">
        <f>Неделя!F24</f>
        <v>0</v>
      </c>
      <c r="G24" s="15">
        <f>Неделя!G24</f>
        <v>0</v>
      </c>
      <c r="H24" s="15">
        <f>Неделя!L24</f>
        <v>0</v>
      </c>
    </row>
    <row r="25" spans="1:8" hidden="1">
      <c r="A25" s="15" t="str">
        <f>Неделя!A25</f>
        <v>Мясной советская 39 180 </v>
      </c>
      <c r="B25" s="15">
        <f>Неделя!B25</f>
        <v>2.0699999999999998</v>
      </c>
      <c r="C25" s="15">
        <f>Неделя!C25</f>
        <v>1</v>
      </c>
      <c r="D25" s="15">
        <f>Неделя!D25</f>
        <v>0</v>
      </c>
      <c r="E25" s="15">
        <f>Неделя!E25</f>
        <v>0</v>
      </c>
      <c r="F25" s="15">
        <f>Неделя!F25</f>
        <v>0</v>
      </c>
      <c r="G25" s="15">
        <f>Неделя!G25</f>
        <v>0</v>
      </c>
      <c r="H25" s="15">
        <f>Неделя!L25</f>
        <v>0</v>
      </c>
    </row>
    <row r="26" spans="1:8" hidden="1">
      <c r="A26" s="15" t="str">
        <f>Неделя!A26</f>
        <v>Пальмира гоголя 150</v>
      </c>
      <c r="B26" s="15">
        <f>Неделя!B26</f>
        <v>1.2749999999999999</v>
      </c>
      <c r="C26" s="15">
        <f>Неделя!C26</f>
        <v>0</v>
      </c>
      <c r="D26" s="15">
        <f>Неделя!D26</f>
        <v>1</v>
      </c>
      <c r="E26" s="15">
        <f>Неделя!E26</f>
        <v>0</v>
      </c>
      <c r="F26" s="15">
        <f>Неделя!F26</f>
        <v>0</v>
      </c>
      <c r="G26" s="15">
        <f>Неделя!G26</f>
        <v>0</v>
      </c>
      <c r="H26" s="15">
        <f>Неделя!L26</f>
        <v>0</v>
      </c>
    </row>
    <row r="27" spans="1:8" hidden="1">
      <c r="A27" s="15" t="str">
        <f>Неделя!A27</f>
        <v>пальмира юбилейный-180 НОВЫЙ</v>
      </c>
      <c r="B27" s="15">
        <f>Неделя!B27</f>
        <v>2.0699999999999998</v>
      </c>
      <c r="C27" s="15">
        <f>Неделя!C27</f>
        <v>1</v>
      </c>
      <c r="D27" s="15">
        <f>Неделя!D27</f>
        <v>0</v>
      </c>
      <c r="E27" s="15">
        <f>Неделя!E27</f>
        <v>0</v>
      </c>
      <c r="F27" s="15">
        <f>Неделя!F27</f>
        <v>0</v>
      </c>
      <c r="G27" s="15">
        <f>Неделя!G27</f>
        <v>0</v>
      </c>
      <c r="H27" s="15">
        <f>Неделя!L27</f>
        <v>0</v>
      </c>
    </row>
    <row r="28" spans="1:8" hidden="1">
      <c r="A28" s="15" t="str">
        <f>Неделя!A28</f>
        <v>прогресс Пролетарская-180, 60x80</v>
      </c>
      <c r="B28" s="15">
        <f>Неделя!B28</f>
        <v>3.3449999999999998</v>
      </c>
      <c r="C28" s="15">
        <f>Неделя!C28</f>
        <v>1</v>
      </c>
      <c r="D28" s="15">
        <f>Неделя!D28</f>
        <v>0</v>
      </c>
      <c r="E28" s="15">
        <f>Неделя!E28</f>
        <v>1</v>
      </c>
      <c r="F28" s="15">
        <f>Неделя!F28</f>
        <v>0</v>
      </c>
      <c r="G28" s="15">
        <f>Неделя!G28</f>
        <v>0</v>
      </c>
      <c r="H28" s="15">
        <f>Неделя!L28</f>
        <v>0</v>
      </c>
    </row>
    <row r="29" spans="1:8" hidden="1">
      <c r="A29" s="15" t="str">
        <f>Неделя!A29</f>
        <v>прогресс советская 180, 150 новые</v>
      </c>
      <c r="B29" s="15">
        <f>Неделя!B29</f>
        <v>3.3449999999999998</v>
      </c>
      <c r="C29" s="15">
        <f>Неделя!C29</f>
        <v>1</v>
      </c>
      <c r="D29" s="15">
        <f>Неделя!D29</f>
        <v>1</v>
      </c>
      <c r="E29" s="15">
        <f>Неделя!E29</f>
        <v>0</v>
      </c>
      <c r="F29" s="15">
        <f>Неделя!F29</f>
        <v>0</v>
      </c>
      <c r="G29" s="15">
        <f>Неделя!G29</f>
        <v>0</v>
      </c>
      <c r="H29" s="15">
        <f>Неделя!L29</f>
        <v>0</v>
      </c>
    </row>
    <row r="30" spans="1:8">
      <c r="A30" s="15" t="str">
        <f>Неделя!A30</f>
        <v>сбербанк гоголя 98-1 вх 3Х150 коричневые </v>
      </c>
      <c r="B30" s="15">
        <f>Неделя!B30</f>
        <v>3.8249999999999997</v>
      </c>
      <c r="C30" s="15">
        <f>Неделя!C30</f>
        <v>0</v>
      </c>
      <c r="D30" s="15">
        <f>Неделя!D30</f>
        <v>0</v>
      </c>
      <c r="E30" s="15">
        <f>Неделя!E30</f>
        <v>0</v>
      </c>
      <c r="F30" s="15">
        <f>Неделя!F30</f>
        <v>0</v>
      </c>
      <c r="G30" s="15">
        <f>Неделя!G30</f>
        <v>0</v>
      </c>
      <c r="H30" s="15">
        <f>Неделя!L30</f>
        <v>1</v>
      </c>
    </row>
    <row r="31" spans="1:8" hidden="1">
      <c r="A31" s="15" t="str">
        <f>Неделя!A31</f>
        <v xml:space="preserve">сбербанк гоголя 98-2ой вход 2х180 </v>
      </c>
      <c r="B31" s="15">
        <f>Неделя!B31</f>
        <v>4.1399999999999997</v>
      </c>
      <c r="C31" s="15">
        <f>Неделя!C31</f>
        <v>0</v>
      </c>
      <c r="D31" s="15">
        <f>Неделя!D31</f>
        <v>0</v>
      </c>
      <c r="E31" s="15">
        <f>Неделя!E31</f>
        <v>0</v>
      </c>
      <c r="F31" s="15">
        <f>Неделя!F31</f>
        <v>0</v>
      </c>
      <c r="G31" s="15">
        <f>Неделя!G31</f>
        <v>0</v>
      </c>
      <c r="H31" s="15">
        <f>Неделя!L31</f>
        <v>0</v>
      </c>
    </row>
    <row r="32" spans="1:8" hidden="1">
      <c r="A32" s="15" t="str">
        <f>Неделя!A32</f>
        <v>теремок Куйбышева -150 старый</v>
      </c>
      <c r="B32" s="15">
        <f>Неделя!B32</f>
        <v>1.2749999999999999</v>
      </c>
      <c r="C32" s="15">
        <f>Неделя!C32</f>
        <v>0</v>
      </c>
      <c r="D32" s="15">
        <f>Неделя!D32</f>
        <v>1</v>
      </c>
      <c r="E32" s="15">
        <f>Неделя!E32</f>
        <v>0</v>
      </c>
      <c r="F32" s="15">
        <f>Неделя!F32</f>
        <v>0</v>
      </c>
      <c r="G32" s="15">
        <f>Неделя!G32</f>
        <v>0</v>
      </c>
      <c r="H32" s="15">
        <f>Неделя!L32</f>
        <v>0</v>
      </c>
    </row>
    <row r="33" spans="1:8" hidden="1">
      <c r="A33" s="15" t="str">
        <f>Неделя!A33</f>
        <v>Тп 2х180</v>
      </c>
      <c r="B33" s="15">
        <f>Неделя!B33</f>
        <v>4.1399999999999997</v>
      </c>
      <c r="C33" s="15">
        <f>Неделя!C33</f>
        <v>2</v>
      </c>
      <c r="D33" s="15">
        <f>Неделя!D33</f>
        <v>0</v>
      </c>
      <c r="E33" s="15">
        <f>Неделя!E33</f>
        <v>0</v>
      </c>
      <c r="F33" s="15">
        <f>Неделя!F33</f>
        <v>0</v>
      </c>
      <c r="G33" s="15">
        <f>Неделя!G33</f>
        <v>0</v>
      </c>
      <c r="H33" s="15">
        <f>Неделя!L33</f>
        <v>0</v>
      </c>
    </row>
    <row r="34" spans="1:8" hidden="1">
      <c r="A34" s="15" t="str">
        <f>Неделя!A34</f>
        <v>Хлеб да мясо 150 резаный хороший </v>
      </c>
      <c r="B34" s="15">
        <f>Неделя!B34</f>
        <v>1.2749999999999999</v>
      </c>
      <c r="C34" s="15">
        <f>Неделя!C34</f>
        <v>0</v>
      </c>
      <c r="D34" s="15">
        <f>Неделя!D34</f>
        <v>1</v>
      </c>
      <c r="E34" s="15">
        <f>Неделя!E34</f>
        <v>0</v>
      </c>
      <c r="F34" s="15">
        <f>Неделя!F34</f>
        <v>0</v>
      </c>
      <c r="G34" s="15">
        <f>Неделя!G34</f>
        <v>0</v>
      </c>
      <c r="H34" s="15">
        <f>Неделя!L34</f>
        <v>0</v>
      </c>
    </row>
    <row r="35" spans="1:8" hidden="1">
      <c r="A35" s="15" t="str">
        <f>Неделя!A35</f>
        <v>Яхонт ленина 150</v>
      </c>
      <c r="B35" s="15">
        <f>Неделя!B35</f>
        <v>1.2749999999999999</v>
      </c>
      <c r="C35" s="15">
        <f>Неделя!C35</f>
        <v>0</v>
      </c>
      <c r="D35" s="15">
        <f>Неделя!D35</f>
        <v>1</v>
      </c>
      <c r="E35" s="15">
        <f>Неделя!E35</f>
        <v>0</v>
      </c>
      <c r="F35" s="15">
        <f>Неделя!F35</f>
        <v>0</v>
      </c>
      <c r="G35" s="15">
        <f>Неделя!G35</f>
        <v>0</v>
      </c>
      <c r="H35" s="15">
        <f>Неделя!L35</f>
        <v>0</v>
      </c>
    </row>
    <row r="36" spans="1:8" hidden="1">
      <c r="A36" s="15" t="str">
        <f>Неделя!A36</f>
        <v>Авангард банк красина 180 сер. 1 шт</v>
      </c>
      <c r="B36" s="15">
        <f>Неделя!B36</f>
        <v>2.0699999999999998</v>
      </c>
      <c r="C36" s="15">
        <f>Неделя!C36</f>
        <v>1</v>
      </c>
      <c r="D36" s="15">
        <f>Неделя!D36</f>
        <v>0</v>
      </c>
      <c r="E36" s="15">
        <f>Неделя!E36</f>
        <v>0</v>
      </c>
      <c r="F36" s="15">
        <f>Неделя!F36</f>
        <v>0</v>
      </c>
      <c r="G36" s="15">
        <f>Неделя!G36</f>
        <v>0</v>
      </c>
      <c r="H36" s="15">
        <f>Неделя!L36</f>
        <v>0</v>
      </c>
    </row>
    <row r="37" spans="1:8">
      <c r="A37" s="15" t="str">
        <f>Неделя!A37</f>
        <v>Альфа банк гоголя 180</v>
      </c>
      <c r="B37" s="15">
        <f>Неделя!B37</f>
        <v>2.0699999999999998</v>
      </c>
      <c r="C37" s="15">
        <f>Неделя!C37</f>
        <v>1</v>
      </c>
      <c r="D37" s="15">
        <f>Неделя!D37</f>
        <v>0</v>
      </c>
      <c r="E37" s="15">
        <f>Неделя!E37</f>
        <v>0</v>
      </c>
      <c r="F37" s="15">
        <f>Неделя!F37</f>
        <v>0</v>
      </c>
      <c r="G37" s="15">
        <f>Неделя!G37</f>
        <v>0</v>
      </c>
      <c r="H37" s="15">
        <f>Неделя!L37</f>
        <v>1</v>
      </c>
    </row>
    <row r="38" spans="1:8" hidden="1">
      <c r="A38" s="15" t="str">
        <f>Неделя!A38</f>
        <v>Альфа банк Гоголя-красина 150 сер.нов.1 шт.</v>
      </c>
      <c r="B38" s="15">
        <f>Неделя!B38</f>
        <v>1.2749999999999999</v>
      </c>
      <c r="C38" s="15">
        <f>Неделя!C38</f>
        <v>0</v>
      </c>
      <c r="D38" s="15">
        <f>Неделя!D38</f>
        <v>1</v>
      </c>
      <c r="E38" s="15">
        <f>Неделя!E38</f>
        <v>0</v>
      </c>
      <c r="F38" s="15">
        <f>Неделя!F38</f>
        <v>0</v>
      </c>
      <c r="G38" s="15">
        <f>Неделя!G38</f>
        <v>0</v>
      </c>
      <c r="H38" s="15">
        <f>Неделя!L38</f>
        <v>0</v>
      </c>
    </row>
    <row r="39" spans="1:8">
      <c r="A39" s="15" t="str">
        <f>Неделя!A39</f>
        <v>Альфа мед гоголя-2х180</v>
      </c>
      <c r="B39" s="15">
        <f>Неделя!B39</f>
        <v>4.1399999999999997</v>
      </c>
      <c r="C39" s="15">
        <f>Неделя!C39</f>
        <v>2</v>
      </c>
      <c r="D39" s="15">
        <f>Неделя!D39</f>
        <v>0</v>
      </c>
      <c r="E39" s="15">
        <f>Неделя!E39</f>
        <v>0</v>
      </c>
      <c r="F39" s="15">
        <f>Неделя!F39</f>
        <v>0</v>
      </c>
      <c r="G39" s="15">
        <f>Неделя!G39</f>
        <v>0</v>
      </c>
      <c r="H39" s="15">
        <f>Неделя!L39</f>
        <v>1</v>
      </c>
    </row>
    <row r="40" spans="1:8" hidden="1">
      <c r="A40" s="15" t="str">
        <f>Неделя!A40</f>
        <v>Альфа мед к.маркса -2х180,(ц.зд. Женщины, кометология)</v>
      </c>
      <c r="B40" s="15">
        <f>Неделя!B40</f>
        <v>4.1399999999999997</v>
      </c>
      <c r="C40" s="15">
        <f>Неделя!C40</f>
        <v>2</v>
      </c>
      <c r="D40" s="15">
        <f>Неделя!D40</f>
        <v>0</v>
      </c>
      <c r="E40" s="15">
        <f>Неделя!E40</f>
        <v>0</v>
      </c>
      <c r="F40" s="15">
        <f>Неделя!F40</f>
        <v>0</v>
      </c>
      <c r="G40" s="15">
        <f>Неделя!G40</f>
        <v>0</v>
      </c>
      <c r="H40" s="15">
        <f>Неделя!L40</f>
        <v>0</v>
      </c>
    </row>
    <row r="41" spans="1:8" hidden="1">
      <c r="A41" s="15" t="str">
        <f>Неделя!A41</f>
        <v>Аннушка куйбышева 180</v>
      </c>
      <c r="B41" s="15">
        <f>Неделя!B41</f>
        <v>2.0699999999999998</v>
      </c>
      <c r="C41" s="15">
        <f>Неделя!C41</f>
        <v>1</v>
      </c>
      <c r="D41" s="15">
        <f>Неделя!D41</f>
        <v>0</v>
      </c>
      <c r="E41" s="15">
        <f>Неделя!E41</f>
        <v>0</v>
      </c>
      <c r="F41" s="15">
        <f>Неделя!F41</f>
        <v>0</v>
      </c>
      <c r="G41" s="15">
        <f>Неделя!G41</f>
        <v>0</v>
      </c>
      <c r="H41" s="15">
        <f>Неделя!L41</f>
        <v>0</v>
      </c>
    </row>
    <row r="42" spans="1:8">
      <c r="A42" s="15" t="str">
        <f>Неделя!A42</f>
        <v>Аптека гоголя 37-150 </v>
      </c>
      <c r="B42" s="15">
        <f>Неделя!B42</f>
        <v>1.2749999999999999</v>
      </c>
      <c r="C42" s="15">
        <f>Неделя!C42</f>
        <v>0</v>
      </c>
      <c r="D42" s="15">
        <f>Неделя!D42</f>
        <v>1</v>
      </c>
      <c r="E42" s="15">
        <f>Неделя!E42</f>
        <v>0</v>
      </c>
      <c r="F42" s="15">
        <f>Неделя!F42</f>
        <v>0</v>
      </c>
      <c r="G42" s="15">
        <f>Неделя!G42</f>
        <v>0</v>
      </c>
      <c r="H42" s="15">
        <f>Неделя!L42</f>
        <v>1</v>
      </c>
    </row>
    <row r="43" spans="1:8" hidden="1">
      <c r="A43" s="15" t="str">
        <f>Неделя!A43</f>
        <v>Аптека гоголя 9-150</v>
      </c>
      <c r="B43" s="15">
        <f>Неделя!B43</f>
        <v>1.2749999999999999</v>
      </c>
      <c r="C43" s="15">
        <f>Неделя!C43</f>
        <v>0</v>
      </c>
      <c r="D43" s="15">
        <f>Неделя!D43</f>
        <v>1</v>
      </c>
      <c r="E43" s="15">
        <f>Неделя!E43</f>
        <v>0</v>
      </c>
      <c r="F43" s="15">
        <f>Неделя!F43</f>
        <v>0</v>
      </c>
      <c r="G43" s="15">
        <f>Неделя!G43</f>
        <v>0</v>
      </c>
      <c r="H43" s="15">
        <f>Неделя!L43</f>
        <v>0</v>
      </c>
    </row>
    <row r="44" spans="1:8">
      <c r="A44" s="15" t="str">
        <f>Неделя!A44</f>
        <v>Аптека ленина 5-150</v>
      </c>
      <c r="B44" s="15">
        <f>Неделя!B44</f>
        <v>1.2749999999999999</v>
      </c>
      <c r="C44" s="15">
        <f>Неделя!C44</f>
        <v>0</v>
      </c>
      <c r="D44" s="15">
        <f>Неделя!D44</f>
        <v>1</v>
      </c>
      <c r="E44" s="15">
        <f>Неделя!E44</f>
        <v>0</v>
      </c>
      <c r="F44" s="15">
        <f>Неделя!F44</f>
        <v>0</v>
      </c>
      <c r="G44" s="15">
        <f>Неделя!G44</f>
        <v>0</v>
      </c>
      <c r="H44" s="15">
        <f>Неделя!L44</f>
        <v>1</v>
      </c>
    </row>
    <row r="45" spans="1:8">
      <c r="A45" s="15" t="str">
        <f>Неделя!A45</f>
        <v>Аптека пушкина 91-2х150</v>
      </c>
      <c r="B45" s="15">
        <f>Неделя!B45</f>
        <v>2.5499999999999998</v>
      </c>
      <c r="C45" s="15">
        <f>Неделя!C45</f>
        <v>0</v>
      </c>
      <c r="D45" s="15">
        <f>Неделя!D45</f>
        <v>2</v>
      </c>
      <c r="E45" s="15">
        <f>Неделя!E45</f>
        <v>0</v>
      </c>
      <c r="F45" s="15">
        <f>Неделя!F45</f>
        <v>0</v>
      </c>
      <c r="G45" s="15">
        <f>Неделя!G45</f>
        <v>0</v>
      </c>
      <c r="H45" s="15">
        <f>Неделя!L45</f>
        <v>1</v>
      </c>
    </row>
    <row r="46" spans="1:8" hidden="1">
      <c r="A46" s="15" t="str">
        <f>Неделя!A46</f>
        <v>Атлант кирова 250 </v>
      </c>
      <c r="B46" s="15">
        <f>Неделя!B46</f>
        <v>3.7</v>
      </c>
      <c r="C46" s="15">
        <f>Неделя!C46</f>
        <v>0</v>
      </c>
      <c r="D46" s="15">
        <f>Неделя!D46</f>
        <v>0</v>
      </c>
      <c r="E46" s="15">
        <f>Неделя!E46</f>
        <v>1</v>
      </c>
      <c r="F46" s="15">
        <f>Неделя!F46</f>
        <v>0</v>
      </c>
      <c r="G46" s="15">
        <f>Неделя!G46</f>
        <v>0</v>
      </c>
      <c r="H46" s="15">
        <f>Неделя!L46</f>
        <v>0</v>
      </c>
    </row>
    <row r="47" spans="1:8">
      <c r="A47" s="15" t="str">
        <f>Неделя!A47</f>
        <v>Банк России 180   2шт</v>
      </c>
      <c r="B47" s="15">
        <f>Неделя!B47</f>
        <v>4.1399999999999997</v>
      </c>
      <c r="C47" s="15">
        <f>Неделя!C47</f>
        <v>2</v>
      </c>
      <c r="D47" s="15">
        <f>Неделя!D47</f>
        <v>2</v>
      </c>
      <c r="E47" s="15">
        <f>Неделя!E47</f>
        <v>0</v>
      </c>
      <c r="F47" s="15">
        <f>Неделя!F47</f>
        <v>0</v>
      </c>
      <c r="G47" s="15">
        <f>Неделя!G47</f>
        <v>0</v>
      </c>
      <c r="H47" s="15">
        <f>Неделя!L47</f>
        <v>1</v>
      </c>
    </row>
    <row r="48" spans="1:8">
      <c r="A48" s="15" t="str">
        <f>Неделя!A48</f>
        <v>Баон 150</v>
      </c>
      <c r="B48" s="15">
        <f>Неделя!B48</f>
        <v>1.2749999999999999</v>
      </c>
      <c r="C48" s="15">
        <f>Неделя!C48</f>
        <v>0</v>
      </c>
      <c r="D48" s="15">
        <f>Неделя!D48</f>
        <v>1</v>
      </c>
      <c r="E48" s="15">
        <f>Неделя!E48</f>
        <v>0</v>
      </c>
      <c r="F48" s="15">
        <f>Неделя!F48</f>
        <v>0</v>
      </c>
      <c r="G48" s="15">
        <f>Неделя!G48</f>
        <v>0</v>
      </c>
      <c r="H48" s="15">
        <f>Неделя!L48</f>
        <v>1</v>
      </c>
    </row>
    <row r="49" spans="1:8" hidden="1">
      <c r="A49" s="15" t="str">
        <f>Неделя!A49</f>
        <v>Буше горького 150</v>
      </c>
      <c r="B49" s="15">
        <f>Неделя!B49</f>
        <v>1.2749999999999999</v>
      </c>
      <c r="C49" s="15">
        <f>Неделя!C49</f>
        <v>0</v>
      </c>
      <c r="D49" s="15">
        <f>Неделя!D49</f>
        <v>1</v>
      </c>
      <c r="E49" s="15">
        <f>Неделя!E49</f>
        <v>0</v>
      </c>
      <c r="F49" s="15">
        <f>Неделя!F49</f>
        <v>0</v>
      </c>
      <c r="G49" s="15">
        <f>Неделя!G49</f>
        <v>0</v>
      </c>
      <c r="H49" s="15">
        <f>Неделя!L49</f>
        <v>0</v>
      </c>
    </row>
    <row r="50" spans="1:8" hidden="1">
      <c r="A50" s="15" t="str">
        <f>Неделя!A50</f>
        <v>Буше красина  150 нов</v>
      </c>
      <c r="B50" s="15">
        <f>Неделя!B50</f>
        <v>1.2749999999999999</v>
      </c>
      <c r="C50" s="15">
        <f>Неделя!C50</f>
        <v>0</v>
      </c>
      <c r="D50" s="15">
        <f>Неделя!D50</f>
        <v>1</v>
      </c>
      <c r="E50" s="15">
        <f>Неделя!E50</f>
        <v>0</v>
      </c>
      <c r="F50" s="15">
        <f>Неделя!F50</f>
        <v>0</v>
      </c>
      <c r="G50" s="15">
        <f>Неделя!G50</f>
        <v>0</v>
      </c>
      <c r="H50" s="15">
        <f>Неделя!L50</f>
        <v>0</v>
      </c>
    </row>
    <row r="51" spans="1:8">
      <c r="A51" s="15" t="str">
        <f>Неделя!A51</f>
        <v>Втб гоголя-250</v>
      </c>
      <c r="B51" s="15">
        <f>Неделя!B51</f>
        <v>3.7</v>
      </c>
      <c r="C51" s="15">
        <f>Неделя!C51</f>
        <v>0</v>
      </c>
      <c r="D51" s="15">
        <f>Неделя!D51</f>
        <v>0</v>
      </c>
      <c r="E51" s="15">
        <f>Неделя!E51</f>
        <v>0</v>
      </c>
      <c r="F51" s="15">
        <f>Неделя!F51</f>
        <v>0</v>
      </c>
      <c r="G51" s="15">
        <f>Неделя!G51</f>
        <v>1</v>
      </c>
      <c r="H51" s="15">
        <f>Неделя!L51</f>
        <v>1</v>
      </c>
    </row>
    <row r="52" spans="1:8" hidden="1">
      <c r="A52" s="15" t="str">
        <f>Неделя!A52</f>
        <v>Втб куйбышева 180</v>
      </c>
      <c r="B52" s="15">
        <f>Неделя!B52</f>
        <v>2.0699999999999998</v>
      </c>
      <c r="C52" s="15">
        <f>Неделя!C52</f>
        <v>1</v>
      </c>
      <c r="D52" s="15">
        <f>Неделя!D52</f>
        <v>0</v>
      </c>
      <c r="E52" s="15">
        <f>Неделя!E52</f>
        <v>0</v>
      </c>
      <c r="F52" s="15">
        <f>Неделя!F52</f>
        <v>0</v>
      </c>
      <c r="G52" s="15">
        <f>Неделя!G52</f>
        <v>0</v>
      </c>
      <c r="H52" s="15">
        <f>Неделя!L52</f>
        <v>0</v>
      </c>
    </row>
    <row r="53" spans="1:8">
      <c r="A53" s="15" t="str">
        <f>Неделя!A53</f>
        <v>Газпром банк гоголя-180 </v>
      </c>
      <c r="B53" s="15">
        <f>Неделя!B53</f>
        <v>2.0699999999999998</v>
      </c>
      <c r="C53" s="15">
        <f>Неделя!C53</f>
        <v>1</v>
      </c>
      <c r="D53" s="15">
        <f>Неделя!D53</f>
        <v>0</v>
      </c>
      <c r="E53" s="15">
        <f>Неделя!E53</f>
        <v>0</v>
      </c>
      <c r="F53" s="15">
        <f>Неделя!F53</f>
        <v>0</v>
      </c>
      <c r="G53" s="15">
        <f>Неделя!G53</f>
        <v>0</v>
      </c>
      <c r="H53" s="15">
        <f>Неделя!L53</f>
        <v>1</v>
      </c>
    </row>
    <row r="54" spans="1:8" hidden="1">
      <c r="A54" s="15" t="str">
        <f>Неделя!A54</f>
        <v>Друзья друзей 2х150</v>
      </c>
      <c r="B54" s="15">
        <f>Неделя!B54</f>
        <v>2.5499999999999998</v>
      </c>
      <c r="C54" s="15">
        <f>Неделя!C54</f>
        <v>2</v>
      </c>
      <c r="D54" s="15">
        <f>Неделя!D54</f>
        <v>0</v>
      </c>
      <c r="E54" s="15">
        <f>Неделя!E54</f>
        <v>0</v>
      </c>
      <c r="F54" s="15">
        <f>Неделя!F54</f>
        <v>0</v>
      </c>
      <c r="G54" s="15">
        <f>Неделя!G54</f>
        <v>0</v>
      </c>
      <c r="H54" s="15">
        <f>Неделя!L54</f>
        <v>0</v>
      </c>
    </row>
    <row r="55" spans="1:8">
      <c r="A55" s="15" t="str">
        <f>Неделя!A55</f>
        <v>Жизнь март пролетарская -180</v>
      </c>
      <c r="B55" s="15">
        <f>Неделя!B55</f>
        <v>2.0699999999999998</v>
      </c>
      <c r="C55" s="15">
        <f>Неделя!C55</f>
        <v>1</v>
      </c>
      <c r="D55" s="15">
        <f>Неделя!D55</f>
        <v>0</v>
      </c>
      <c r="E55" s="15">
        <f>Неделя!E55</f>
        <v>0</v>
      </c>
      <c r="F55" s="15">
        <f>Неделя!F55</f>
        <v>0</v>
      </c>
      <c r="G55" s="15">
        <f>Неделя!G55</f>
        <v>0</v>
      </c>
      <c r="H55" s="15">
        <f>Неделя!L55</f>
        <v>1</v>
      </c>
    </row>
    <row r="56" spans="1:8">
      <c r="A56" s="15" t="str">
        <f>Неделя!A56</f>
        <v>инвитро красина-3х150 новые</v>
      </c>
      <c r="B56" s="15">
        <f>Неделя!B56</f>
        <v>3.8249999999999997</v>
      </c>
      <c r="C56" s="15">
        <f>Неделя!C56</f>
        <v>0</v>
      </c>
      <c r="D56" s="15">
        <f>Неделя!D56</f>
        <v>3</v>
      </c>
      <c r="E56" s="15">
        <f>Неделя!E56</f>
        <v>0</v>
      </c>
      <c r="F56" s="15">
        <f>Неделя!F56</f>
        <v>0</v>
      </c>
      <c r="G56" s="15">
        <f>Неделя!G56</f>
        <v>0</v>
      </c>
      <c r="H56" s="15">
        <f>Неделя!L56</f>
        <v>1</v>
      </c>
    </row>
    <row r="57" spans="1:8" hidden="1">
      <c r="A57" s="15" t="str">
        <f>Неделя!A57</f>
        <v>Инвитро ленина-2х150 новые стелим на себя</v>
      </c>
      <c r="B57" s="15">
        <f>Неделя!B57</f>
        <v>2.5499999999999998</v>
      </c>
      <c r="C57" s="15">
        <f>Неделя!C57</f>
        <v>0</v>
      </c>
      <c r="D57" s="15">
        <f>Неделя!D57</f>
        <v>2</v>
      </c>
      <c r="E57" s="15">
        <f>Неделя!E57</f>
        <v>0</v>
      </c>
      <c r="F57" s="15">
        <f>Неделя!F57</f>
        <v>0</v>
      </c>
      <c r="G57" s="15">
        <f>Неделя!G57</f>
        <v>0</v>
      </c>
      <c r="H57" s="15">
        <f>Неделя!L57</f>
        <v>0</v>
      </c>
    </row>
    <row r="58" spans="1:8">
      <c r="A58" s="15" t="str">
        <f>Неделя!A58</f>
        <v>Курган Доставка</v>
      </c>
      <c r="B58" s="15">
        <f>Неделя!B58</f>
        <v>1.2749999999999999</v>
      </c>
      <c r="C58" s="15">
        <f>Неделя!C58</f>
        <v>0</v>
      </c>
      <c r="D58" s="15">
        <f>Неделя!D58</f>
        <v>1</v>
      </c>
      <c r="E58" s="15">
        <f>Неделя!E58</f>
        <v>0</v>
      </c>
      <c r="F58" s="15">
        <f>Неделя!F58</f>
        <v>0</v>
      </c>
      <c r="G58" s="15">
        <f>Неделя!G58</f>
        <v>0</v>
      </c>
      <c r="H58" s="15">
        <f>Неделя!L58</f>
        <v>1</v>
      </c>
    </row>
    <row r="59" spans="1:8">
      <c r="A59" s="15" t="str">
        <f>Неделя!A59</f>
        <v>Летуаль 180</v>
      </c>
      <c r="B59" s="15">
        <f>Неделя!B59</f>
        <v>2.0699999999999998</v>
      </c>
      <c r="C59" s="15">
        <f>Неделя!C59</f>
        <v>1</v>
      </c>
      <c r="D59" s="15">
        <f>Неделя!D59</f>
        <v>0</v>
      </c>
      <c r="E59" s="15">
        <f>Неделя!E59</f>
        <v>0</v>
      </c>
      <c r="F59" s="15">
        <f>Неделя!F59</f>
        <v>0</v>
      </c>
      <c r="G59" s="15">
        <f>Неделя!G59</f>
        <v>0</v>
      </c>
      <c r="H59" s="15">
        <f>Неделя!L59</f>
        <v>1</v>
      </c>
    </row>
    <row r="60" spans="1:8" hidden="1">
      <c r="A60" s="15" t="str">
        <f>Неделя!A60</f>
        <v>М.горького 40  180*2</v>
      </c>
      <c r="B60" s="15">
        <f>Неделя!B60</f>
        <v>4.1399999999999997</v>
      </c>
      <c r="C60" s="15">
        <f>Неделя!C60</f>
        <v>2</v>
      </c>
      <c r="D60" s="15">
        <f>Неделя!D60</f>
        <v>0</v>
      </c>
      <c r="E60" s="15">
        <f>Неделя!E60</f>
        <v>0</v>
      </c>
      <c r="F60" s="15">
        <f>Неделя!F60</f>
        <v>0</v>
      </c>
      <c r="G60" s="15">
        <f>Неделя!G60</f>
        <v>0</v>
      </c>
      <c r="H60" s="15">
        <f>Неделя!L60</f>
        <v>0</v>
      </c>
    </row>
    <row r="61" spans="1:8" hidden="1">
      <c r="A61" s="15" t="str">
        <f>Неделя!A61</f>
        <v>Магнит Володарского 180 </v>
      </c>
      <c r="B61" s="15">
        <f>Неделя!B61</f>
        <v>2.0699999999999998</v>
      </c>
      <c r="C61" s="15">
        <f>Неделя!C61</f>
        <v>1</v>
      </c>
      <c r="D61" s="15">
        <f>Неделя!D61</f>
        <v>0</v>
      </c>
      <c r="E61" s="15">
        <f>Неделя!E61</f>
        <v>0</v>
      </c>
      <c r="F61" s="15">
        <f>Неделя!F61</f>
        <v>0</v>
      </c>
      <c r="G61" s="15">
        <f>Неделя!G61</f>
        <v>0</v>
      </c>
      <c r="H61" s="15">
        <f>Неделя!L61</f>
        <v>0</v>
      </c>
    </row>
    <row r="62" spans="1:8">
      <c r="A62" s="15" t="str">
        <f>Неделя!A62</f>
        <v>Магнит гоголя 38-180</v>
      </c>
      <c r="B62" s="15">
        <f>Неделя!B62</f>
        <v>2.0699999999999998</v>
      </c>
      <c r="C62" s="15">
        <f>Неделя!C62</f>
        <v>1</v>
      </c>
      <c r="D62" s="15">
        <f>Неделя!D62</f>
        <v>0</v>
      </c>
      <c r="E62" s="15">
        <f>Неделя!E62</f>
        <v>0</v>
      </c>
      <c r="F62" s="15">
        <f>Неделя!F62</f>
        <v>0</v>
      </c>
      <c r="G62" s="15">
        <f>Неделя!G62</f>
        <v>0</v>
      </c>
      <c r="H62" s="15">
        <f>Неделя!L62</f>
        <v>1</v>
      </c>
    </row>
    <row r="63" spans="1:8">
      <c r="A63" s="15" t="str">
        <f>Неделя!A63</f>
        <v>Магнит гоголя 66-180</v>
      </c>
      <c r="B63" s="15">
        <f>Неделя!B63</f>
        <v>2.0699999999999998</v>
      </c>
      <c r="C63" s="15">
        <f>Неделя!C63</f>
        <v>1</v>
      </c>
      <c r="D63" s="15">
        <f>Неделя!D63</f>
        <v>0</v>
      </c>
      <c r="E63" s="15">
        <f>Неделя!E63</f>
        <v>0</v>
      </c>
      <c r="F63" s="15">
        <f>Неделя!F63</f>
        <v>0</v>
      </c>
      <c r="G63" s="15">
        <f>Неделя!G63</f>
        <v>0</v>
      </c>
      <c r="H63" s="15">
        <f>Неделя!L63</f>
        <v>1</v>
      </c>
    </row>
    <row r="64" spans="1:8">
      <c r="A64" s="15" t="str">
        <f>Неделя!A64</f>
        <v>Магнит Гоголя 76 180</v>
      </c>
      <c r="B64" s="15">
        <f>Неделя!B64</f>
        <v>2.0699999999999998</v>
      </c>
      <c r="C64" s="15">
        <f>Неделя!C64</f>
        <v>1</v>
      </c>
      <c r="D64" s="15">
        <f>Неделя!D64</f>
        <v>0</v>
      </c>
      <c r="E64" s="15">
        <f>Неделя!E64</f>
        <v>0</v>
      </c>
      <c r="F64" s="15">
        <f>Неделя!F64</f>
        <v>0</v>
      </c>
      <c r="G64" s="15">
        <f>Неделя!G64</f>
        <v>0</v>
      </c>
      <c r="H64" s="15">
        <f>Неделя!L64</f>
        <v>1</v>
      </c>
    </row>
    <row r="65" spans="1:8" hidden="1">
      <c r="A65" s="15" t="str">
        <f>Неделя!A65</f>
        <v>Магнит К.маркса 180</v>
      </c>
      <c r="B65" s="15">
        <f>Неделя!B65</f>
        <v>2.0699999999999998</v>
      </c>
      <c r="C65" s="15">
        <f>Неделя!C65</f>
        <v>1</v>
      </c>
      <c r="D65" s="15">
        <f>Неделя!D65</f>
        <v>0</v>
      </c>
      <c r="E65" s="15">
        <f>Неделя!E65</f>
        <v>0</v>
      </c>
      <c r="F65" s="15">
        <f>Неделя!F65</f>
        <v>0</v>
      </c>
      <c r="G65" s="15">
        <f>Неделя!G65</f>
        <v>0</v>
      </c>
      <c r="H65" s="15">
        <f>Неделя!L65</f>
        <v>0</v>
      </c>
    </row>
    <row r="66" spans="1:8" hidden="1">
      <c r="A66" s="15" t="str">
        <f>Неделя!A66</f>
        <v>магнит красина 180</v>
      </c>
      <c r="B66" s="15">
        <f>Неделя!B66</f>
        <v>2.0699999999999998</v>
      </c>
      <c r="C66" s="15">
        <f>Неделя!C66</f>
        <v>1</v>
      </c>
      <c r="D66" s="15">
        <f>Неделя!D66</f>
        <v>0</v>
      </c>
      <c r="E66" s="15">
        <f>Неделя!E66</f>
        <v>0</v>
      </c>
      <c r="F66" s="15">
        <f>Неделя!F66</f>
        <v>0</v>
      </c>
      <c r="G66" s="15">
        <f>Неделя!G66</f>
        <v>0</v>
      </c>
      <c r="H66" s="15">
        <f>Неделя!L66</f>
        <v>0</v>
      </c>
    </row>
    <row r="67" spans="1:8">
      <c r="A67" s="15" t="str">
        <f>Неделя!A67</f>
        <v>Магнит советская 39 180</v>
      </c>
      <c r="B67" s="15">
        <f>Неделя!B67</f>
        <v>2.0699999999999998</v>
      </c>
      <c r="C67" s="15">
        <f>Неделя!C67</f>
        <v>1</v>
      </c>
      <c r="D67" s="15">
        <f>Неделя!D67</f>
        <v>0</v>
      </c>
      <c r="E67" s="15">
        <f>Неделя!E67</f>
        <v>0</v>
      </c>
      <c r="F67" s="15">
        <f>Неделя!F67</f>
        <v>0</v>
      </c>
      <c r="G67" s="15">
        <f>Неделя!G67</f>
        <v>0</v>
      </c>
      <c r="H67" s="15">
        <f>Неделя!L67</f>
        <v>1</v>
      </c>
    </row>
    <row r="68" spans="1:8">
      <c r="A68" s="15" t="str">
        <f>Неделя!A68</f>
        <v>Магнит советская 40 180</v>
      </c>
      <c r="B68" s="15">
        <f>Неделя!B68</f>
        <v>2.0699999999999998</v>
      </c>
      <c r="C68" s="15">
        <f>Неделя!C68</f>
        <v>1</v>
      </c>
      <c r="D68" s="15">
        <f>Неделя!D68</f>
        <v>0</v>
      </c>
      <c r="E68" s="15">
        <f>Неделя!E68</f>
        <v>0</v>
      </c>
      <c r="F68" s="15">
        <f>Неделя!F68</f>
        <v>0</v>
      </c>
      <c r="G68" s="15">
        <f>Неделя!G68</f>
        <v>0</v>
      </c>
      <c r="H68" s="15">
        <f>Неделя!L68</f>
        <v>1</v>
      </c>
    </row>
    <row r="69" spans="1:8" hidden="1">
      <c r="A69" s="15" t="str">
        <f>Неделя!A69</f>
        <v>Мегафон советская 2х150 рез</v>
      </c>
      <c r="B69" s="15">
        <f>Неделя!B69</f>
        <v>2.5499999999999998</v>
      </c>
      <c r="C69" s="15">
        <f>Неделя!C69</f>
        <v>0</v>
      </c>
      <c r="D69" s="15">
        <f>Неделя!D69</f>
        <v>2</v>
      </c>
      <c r="E69" s="15">
        <f>Неделя!E69</f>
        <v>0</v>
      </c>
      <c r="F69" s="15">
        <f>Неделя!F69</f>
        <v>0</v>
      </c>
      <c r="G69" s="15">
        <f>Неделя!G69</f>
        <v>0</v>
      </c>
      <c r="H69" s="15">
        <f>Неделя!L69</f>
        <v>0</v>
      </c>
    </row>
    <row r="70" spans="1:8" hidden="1">
      <c r="A70" s="15">
        <f>Неделя!A70</f>
        <v>0</v>
      </c>
      <c r="B70" s="15">
        <f>Неделя!B70</f>
        <v>0</v>
      </c>
      <c r="C70" s="15">
        <f>Неделя!C70</f>
        <v>0</v>
      </c>
      <c r="D70" s="15">
        <f>Неделя!D70</f>
        <v>0</v>
      </c>
      <c r="E70" s="15">
        <f>Неделя!E70</f>
        <v>0</v>
      </c>
      <c r="F70" s="15">
        <f>Неделя!F70</f>
        <v>0</v>
      </c>
      <c r="G70" s="15">
        <f>Неделя!G70</f>
        <v>0</v>
      </c>
      <c r="H70" s="15">
        <f>Неделя!L70</f>
        <v>0</v>
      </c>
    </row>
    <row r="71" spans="1:8">
      <c r="A71" s="15" t="str">
        <f>Неделя!A71</f>
        <v>мтс гоголя 53 - 180серый 1</v>
      </c>
      <c r="B71" s="15">
        <f>Неделя!B71</f>
        <v>2.0699999999999998</v>
      </c>
      <c r="C71" s="15">
        <f>Неделя!C71</f>
        <v>1</v>
      </c>
      <c r="D71" s="15">
        <f>Неделя!D71</f>
        <v>0</v>
      </c>
      <c r="E71" s="15">
        <f>Неделя!E71</f>
        <v>0</v>
      </c>
      <c r="F71" s="15">
        <f>Неделя!F71</f>
        <v>0</v>
      </c>
      <c r="G71" s="15">
        <f>Неделя!G71</f>
        <v>0</v>
      </c>
      <c r="H71" s="15">
        <f>Неделя!L71</f>
        <v>1</v>
      </c>
    </row>
    <row r="72" spans="1:8">
      <c r="A72" s="15" t="str">
        <f>Неделя!A72</f>
        <v>МТС Пушкина 150</v>
      </c>
      <c r="B72" s="15">
        <f>Неделя!B72</f>
        <v>1.2749999999999999</v>
      </c>
      <c r="C72" s="15">
        <f>Неделя!C72</f>
        <v>0</v>
      </c>
      <c r="D72" s="15">
        <f>Неделя!D72</f>
        <v>0</v>
      </c>
      <c r="E72" s="15">
        <f>Неделя!E72</f>
        <v>0</v>
      </c>
      <c r="F72" s="15">
        <f>Неделя!F72</f>
        <v>0</v>
      </c>
      <c r="G72" s="15">
        <f>Неделя!G72</f>
        <v>0</v>
      </c>
      <c r="H72" s="15">
        <f>Неделя!L72</f>
        <v>1</v>
      </c>
    </row>
    <row r="73" spans="1:8" hidden="1">
      <c r="A73" s="15" t="str">
        <f>Неделя!A73</f>
        <v>мтс Пушкина 167- 150</v>
      </c>
      <c r="B73" s="15">
        <f>Неделя!B73</f>
        <v>1.2749999999999999</v>
      </c>
      <c r="C73" s="15">
        <f>Неделя!C73</f>
        <v>0</v>
      </c>
      <c r="D73" s="15">
        <f>Неделя!D73</f>
        <v>1</v>
      </c>
      <c r="E73" s="15">
        <f>Неделя!E73</f>
        <v>0</v>
      </c>
      <c r="F73" s="15">
        <f>Неделя!F73</f>
        <v>0</v>
      </c>
      <c r="G73" s="15">
        <f>Неделя!G73</f>
        <v>0</v>
      </c>
      <c r="H73" s="15">
        <f>Неделя!L73</f>
        <v>0</v>
      </c>
    </row>
    <row r="74" spans="1:8" hidden="1">
      <c r="A74" s="15" t="str">
        <f>Неделя!A74</f>
        <v>Промсвязь банк 150,180</v>
      </c>
      <c r="B74" s="15">
        <f>Неделя!B74</f>
        <v>3.3449999999999998</v>
      </c>
      <c r="C74" s="15">
        <f>Неделя!C74</f>
        <v>1</v>
      </c>
      <c r="D74" s="15">
        <f>Неделя!D74</f>
        <v>1</v>
      </c>
      <c r="E74" s="15">
        <f>Неделя!E74</f>
        <v>0</v>
      </c>
      <c r="F74" s="15">
        <f>Неделя!F74</f>
        <v>0</v>
      </c>
      <c r="G74" s="15">
        <f>Неделя!G74</f>
        <v>0</v>
      </c>
      <c r="H74" s="15">
        <f>Неделя!L74</f>
        <v>0</v>
      </c>
    </row>
    <row r="75" spans="1:8" hidden="1">
      <c r="A75" s="15" t="str">
        <f>Неделя!A75</f>
        <v>Ресторан СОЛО Куйбышева</v>
      </c>
      <c r="B75" s="15">
        <f>Неделя!B75</f>
        <v>1.2569999999999999</v>
      </c>
      <c r="C75" s="15">
        <f>Неделя!C75</f>
        <v>0</v>
      </c>
      <c r="D75" s="15">
        <f>Неделя!D75</f>
        <v>1</v>
      </c>
      <c r="E75" s="15">
        <f>Неделя!E75</f>
        <v>0</v>
      </c>
      <c r="F75" s="15">
        <f>Неделя!F75</f>
        <v>0</v>
      </c>
      <c r="G75" s="15">
        <f>Неделя!G75</f>
        <v>0</v>
      </c>
      <c r="H75" s="15">
        <f>Неделя!L75</f>
        <v>0</v>
      </c>
    </row>
    <row r="76" spans="1:8">
      <c r="A76" s="15" t="str">
        <f>Неделя!A76</f>
        <v>Теле2 гоголя-150 резаный</v>
      </c>
      <c r="B76" s="15">
        <f>Неделя!B76</f>
        <v>1.2749999999999999</v>
      </c>
      <c r="C76" s="15">
        <f>Неделя!C76</f>
        <v>0</v>
      </c>
      <c r="D76" s="15">
        <f>Неделя!D76</f>
        <v>1</v>
      </c>
      <c r="E76" s="15">
        <f>Неделя!E76</f>
        <v>0</v>
      </c>
      <c r="F76" s="15">
        <f>Неделя!F76</f>
        <v>0</v>
      </c>
      <c r="G76" s="15">
        <f>Неделя!G76</f>
        <v>0</v>
      </c>
      <c r="H76" s="15">
        <f>Неделя!L76</f>
        <v>1</v>
      </c>
    </row>
    <row r="77" spans="1:8" hidden="1">
      <c r="A77" s="15" t="str">
        <f>Неделя!A77</f>
        <v>Томография К. маркса</v>
      </c>
      <c r="B77" s="15">
        <f>Неделя!B77</f>
        <v>1.2749999999999999</v>
      </c>
      <c r="C77" s="15">
        <f>Неделя!C77</f>
        <v>0</v>
      </c>
      <c r="D77" s="15">
        <f>Неделя!D77</f>
        <v>1</v>
      </c>
      <c r="E77" s="15">
        <f>Неделя!E77</f>
        <v>0</v>
      </c>
      <c r="F77" s="15">
        <f>Неделя!F77</f>
        <v>0</v>
      </c>
      <c r="G77" s="15">
        <f>Неделя!G77</f>
        <v>0</v>
      </c>
      <c r="H77" s="15">
        <f>Неделя!L77</f>
        <v>0</v>
      </c>
    </row>
    <row r="78" spans="1:8" hidden="1">
      <c r="A78" s="15" t="str">
        <f>Неделя!A78</f>
        <v>Фикс прайс к.мяготина 180*2</v>
      </c>
      <c r="B78" s="15">
        <f>Неделя!B78</f>
        <v>4.1399999999999997</v>
      </c>
      <c r="C78" s="15">
        <f>Неделя!C78</f>
        <v>2</v>
      </c>
      <c r="D78" s="15">
        <f>Неделя!D78</f>
        <v>0</v>
      </c>
      <c r="E78" s="15">
        <f>Неделя!E78</f>
        <v>0</v>
      </c>
      <c r="F78" s="15">
        <f>Неделя!F78</f>
        <v>0</v>
      </c>
      <c r="G78" s="15">
        <f>Неделя!G78</f>
        <v>0</v>
      </c>
      <c r="H78" s="15">
        <f>Неделя!L78</f>
        <v>0</v>
      </c>
    </row>
    <row r="79" spans="1:8" hidden="1">
      <c r="A79" s="15">
        <f>Неделя!A79</f>
        <v>0</v>
      </c>
      <c r="B79" s="15">
        <f>Неделя!B79</f>
        <v>0</v>
      </c>
      <c r="C79" s="15">
        <f>Неделя!C79</f>
        <v>0</v>
      </c>
      <c r="D79" s="15">
        <f>Неделя!D79</f>
        <v>0</v>
      </c>
      <c r="E79" s="15">
        <f>Неделя!E79</f>
        <v>0</v>
      </c>
      <c r="F79" s="15">
        <f>Неделя!F79</f>
        <v>0</v>
      </c>
      <c r="G79" s="15">
        <f>Неделя!G79</f>
        <v>0</v>
      </c>
      <c r="H79" s="15">
        <f>Неделя!L79</f>
        <v>0</v>
      </c>
    </row>
    <row r="80" spans="1:8">
      <c r="A80" s="15" t="str">
        <f>Неделя!A80</f>
        <v>Фикс советска40-2х180</v>
      </c>
      <c r="B80" s="15">
        <f>Неделя!B80</f>
        <v>4.1399999999999997</v>
      </c>
      <c r="C80" s="15">
        <f>Неделя!C80</f>
        <v>2</v>
      </c>
      <c r="D80" s="15">
        <f>Неделя!D80</f>
        <v>0</v>
      </c>
      <c r="E80" s="15">
        <f>Неделя!E80</f>
        <v>0</v>
      </c>
      <c r="F80" s="15">
        <f>Неделя!F80</f>
        <v>0</v>
      </c>
      <c r="G80" s="15">
        <f>Неделя!G80</f>
        <v>0</v>
      </c>
      <c r="H80" s="15">
        <f>Неделя!L80</f>
        <v>1</v>
      </c>
    </row>
    <row r="81" spans="1:8">
      <c r="A81" s="15" t="str">
        <f>Неделя!A81</f>
        <v>Чистый квартал 150, 80х80</v>
      </c>
      <c r="B81" s="15">
        <f>Неделя!B81</f>
        <v>2.5499999999999998</v>
      </c>
      <c r="C81" s="15">
        <f>Неделя!C81</f>
        <v>0</v>
      </c>
      <c r="D81" s="15">
        <f>Неделя!D81</f>
        <v>1</v>
      </c>
      <c r="E81" s="15">
        <f>Неделя!E81</f>
        <v>1</v>
      </c>
      <c r="F81" s="15">
        <f>Неделя!F81</f>
        <v>0</v>
      </c>
      <c r="G81" s="15">
        <f>Неделя!G81</f>
        <v>0</v>
      </c>
      <c r="H81" s="15">
        <f>Неделя!L81</f>
        <v>0</v>
      </c>
    </row>
    <row r="82" spans="1:8">
      <c r="A82" s="15" t="str">
        <f>Неделя!A82</f>
        <v>Япоки гоголя-180</v>
      </c>
      <c r="B82" s="15">
        <f>Неделя!B82</f>
        <v>2.0699999999999998</v>
      </c>
      <c r="C82" s="15">
        <f>Неделя!C82</f>
        <v>1</v>
      </c>
      <c r="D82" s="15">
        <f>Неделя!D82</f>
        <v>0</v>
      </c>
      <c r="E82" s="15">
        <f>Неделя!E82</f>
        <v>0</v>
      </c>
      <c r="F82" s="15">
        <f>Неделя!F82</f>
        <v>0</v>
      </c>
      <c r="G82" s="15">
        <f>Неделя!G82</f>
        <v>0</v>
      </c>
      <c r="H82" s="15">
        <f>Неделя!L82</f>
        <v>1</v>
      </c>
    </row>
    <row r="83" spans="1:8" hidden="1">
      <c r="A83" s="15" t="str">
        <f>Неделя!A83</f>
        <v>4 сезона ленина-180</v>
      </c>
      <c r="B83" s="15">
        <f>Неделя!B83</f>
        <v>2.0699999999999998</v>
      </c>
      <c r="C83" s="15">
        <f>Неделя!C83</f>
        <v>1</v>
      </c>
      <c r="D83" s="15">
        <f>Неделя!D83</f>
        <v>0</v>
      </c>
      <c r="E83" s="15">
        <f>Неделя!E83</f>
        <v>0</v>
      </c>
      <c r="F83" s="15">
        <f>Неделя!F83</f>
        <v>0</v>
      </c>
      <c r="G83" s="15">
        <f>Неделя!G83</f>
        <v>0</v>
      </c>
      <c r="H83" s="15">
        <f>Неделя!L83</f>
        <v>0</v>
      </c>
    </row>
    <row r="84" spans="1:8">
      <c r="A84" s="15" t="str">
        <f>Неделя!A84</f>
        <v>Александрит 150 рез </v>
      </c>
      <c r="B84" s="15">
        <f>Неделя!B84</f>
        <v>1.2749999999999999</v>
      </c>
      <c r="C84" s="15">
        <f>Неделя!C84</f>
        <v>0</v>
      </c>
      <c r="D84" s="15">
        <f>Неделя!D84</f>
        <v>1</v>
      </c>
      <c r="E84" s="15">
        <f>Неделя!E84</f>
        <v>0</v>
      </c>
      <c r="F84" s="15">
        <f>Неделя!F84</f>
        <v>0</v>
      </c>
      <c r="G84" s="15">
        <f>Неделя!G84</f>
        <v>0</v>
      </c>
      <c r="H84" s="15">
        <f>Неделя!L84</f>
        <v>1</v>
      </c>
    </row>
    <row r="85" spans="1:8">
      <c r="A85" s="15" t="str">
        <f>Неделя!A85</f>
        <v>Алеф-банк 150 НОЯБРЬ </v>
      </c>
      <c r="B85" s="15">
        <f>Неделя!B85</f>
        <v>1.2749999999999999</v>
      </c>
      <c r="C85" s="15">
        <f>Неделя!C85</f>
        <v>0</v>
      </c>
      <c r="D85" s="15">
        <f>Неделя!D85</f>
        <v>1</v>
      </c>
      <c r="E85" s="15">
        <f>Неделя!E85</f>
        <v>0</v>
      </c>
      <c r="F85" s="15">
        <f>Неделя!F85</f>
        <v>0</v>
      </c>
      <c r="G85" s="15">
        <f>Неделя!G85</f>
        <v>0</v>
      </c>
      <c r="H85" s="15">
        <f>Неделя!L85</f>
        <v>1</v>
      </c>
    </row>
    <row r="86" spans="1:8" hidden="1">
      <c r="A86" s="15" t="str">
        <f>Неделя!A86</f>
        <v>Альфастрахование 2х180</v>
      </c>
      <c r="B86" s="15">
        <f>Неделя!B86</f>
        <v>4.1399999999999997</v>
      </c>
      <c r="C86" s="15">
        <f>Неделя!C86</f>
        <v>2</v>
      </c>
      <c r="D86" s="15">
        <f>Неделя!D86</f>
        <v>0</v>
      </c>
      <c r="E86" s="15">
        <f>Неделя!E86</f>
        <v>0</v>
      </c>
      <c r="F86" s="15">
        <f>Неделя!F86</f>
        <v>0</v>
      </c>
      <c r="G86" s="15">
        <f>Неделя!G86</f>
        <v>0</v>
      </c>
      <c r="H86" s="15">
        <f>Неделя!L86</f>
        <v>0</v>
      </c>
    </row>
    <row r="87" spans="1:8" hidden="1">
      <c r="A87" s="15" t="str">
        <f>Неделя!A87</f>
        <v>Аптека советская ленина 150</v>
      </c>
      <c r="B87" s="15">
        <f>Неделя!B87</f>
        <v>1.2749999999999999</v>
      </c>
      <c r="C87" s="15">
        <f>Неделя!C87</f>
        <v>0</v>
      </c>
      <c r="D87" s="15">
        <f>Неделя!D87</f>
        <v>1</v>
      </c>
      <c r="E87" s="15">
        <f>Неделя!E87</f>
        <v>0</v>
      </c>
      <c r="F87" s="15">
        <f>Неделя!F87</f>
        <v>0</v>
      </c>
      <c r="G87" s="15">
        <f>Неделя!G87</f>
        <v>0</v>
      </c>
      <c r="H87" s="15">
        <f>Неделя!L87</f>
        <v>0</v>
      </c>
    </row>
    <row r="88" spans="1:8" hidden="1">
      <c r="A88" s="15" t="str">
        <f>Неделя!A88</f>
        <v>Баден Ленина-200 старый</v>
      </c>
      <c r="B88" s="15">
        <f>Неделя!B88</f>
        <v>2.0699999999999998</v>
      </c>
      <c r="C88" s="15">
        <f>Неделя!C88</f>
        <v>1</v>
      </c>
      <c r="D88" s="15">
        <f>Неделя!D88</f>
        <v>0</v>
      </c>
      <c r="E88" s="15">
        <f>Неделя!E88</f>
        <v>0</v>
      </c>
      <c r="F88" s="15">
        <f>Неделя!F88</f>
        <v>0</v>
      </c>
      <c r="G88" s="15">
        <f>Неделя!G88</f>
        <v>0</v>
      </c>
      <c r="H88" s="15">
        <f>Неделя!L88</f>
        <v>0</v>
      </c>
    </row>
    <row r="89" spans="1:8" hidden="1">
      <c r="A89" s="15">
        <f>Неделя!A89</f>
        <v>0</v>
      </c>
      <c r="B89" s="15">
        <f>Неделя!B89</f>
        <v>0</v>
      </c>
      <c r="C89" s="15">
        <f>Неделя!C89</f>
        <v>0</v>
      </c>
      <c r="D89" s="15">
        <f>Неделя!D89</f>
        <v>0</v>
      </c>
      <c r="E89" s="15">
        <f>Неделя!E89</f>
        <v>0</v>
      </c>
      <c r="F89" s="15">
        <f>Неделя!F89</f>
        <v>0</v>
      </c>
      <c r="G89" s="15">
        <f>Неделя!G89</f>
        <v>0</v>
      </c>
      <c r="H89" s="15">
        <f>Неделя!L89</f>
        <v>0</v>
      </c>
    </row>
    <row r="90" spans="1:8">
      <c r="A90" s="15" t="str">
        <f>Неделя!A90</f>
        <v>Банк курган Гоголя 180 </v>
      </c>
      <c r="B90" s="15">
        <f>Неделя!B90</f>
        <v>2.0699999999999998</v>
      </c>
      <c r="C90" s="15">
        <f>Неделя!C90</f>
        <v>1</v>
      </c>
      <c r="D90" s="15">
        <f>Неделя!D90</f>
        <v>0</v>
      </c>
      <c r="E90" s="15">
        <f>Неделя!E90</f>
        <v>0</v>
      </c>
      <c r="F90" s="15">
        <f>Неделя!F90</f>
        <v>0</v>
      </c>
      <c r="G90" s="15">
        <f>Неделя!G90</f>
        <v>0</v>
      </c>
      <c r="H90" s="15">
        <f>Неделя!L90</f>
        <v>1</v>
      </c>
    </row>
    <row r="91" spans="1:8">
      <c r="A91" s="15" t="str">
        <f>Неделя!A91</f>
        <v>Банк курган площадь 150 сер. 1шт. </v>
      </c>
      <c r="B91" s="15">
        <f>Неделя!B91</f>
        <v>1.2749999999999999</v>
      </c>
      <c r="C91" s="15">
        <f>Неделя!C91</f>
        <v>0</v>
      </c>
      <c r="D91" s="15">
        <f>Неделя!D91</f>
        <v>1</v>
      </c>
      <c r="E91" s="15">
        <f>Неделя!E91</f>
        <v>0</v>
      </c>
      <c r="F91" s="15">
        <f>Неделя!F91</f>
        <v>0</v>
      </c>
      <c r="G91" s="15">
        <f>Неделя!G91</f>
        <v>0</v>
      </c>
      <c r="H91" s="15">
        <f>Неделя!L91</f>
        <v>1</v>
      </c>
    </row>
    <row r="92" spans="1:8">
      <c r="A92" s="15" t="str">
        <f>Неделя!A92</f>
        <v>Банк России 150   2шт</v>
      </c>
      <c r="B92" s="15">
        <f>Неделя!B92</f>
        <v>2.5499999999999998</v>
      </c>
      <c r="C92" s="15">
        <f>Неделя!C92</f>
        <v>0</v>
      </c>
      <c r="D92" s="15">
        <f>Неделя!D92</f>
        <v>0</v>
      </c>
      <c r="E92" s="15">
        <f>Неделя!E92</f>
        <v>0</v>
      </c>
      <c r="F92" s="15">
        <f>Неделя!F92</f>
        <v>1</v>
      </c>
      <c r="G92" s="15">
        <f>Неделя!G92</f>
        <v>0</v>
      </c>
      <c r="H92" s="15">
        <f>Неделя!L92</f>
        <v>1</v>
      </c>
    </row>
    <row r="93" spans="1:8" hidden="1">
      <c r="A93" s="15" t="str">
        <f>Неделя!A93</f>
        <v>Бенетон 150</v>
      </c>
      <c r="B93" s="15">
        <f>Неделя!B93</f>
        <v>1.2749999999999999</v>
      </c>
      <c r="C93" s="15">
        <f>Неделя!C93</f>
        <v>0</v>
      </c>
      <c r="D93" s="15">
        <f>Неделя!D93</f>
        <v>1</v>
      </c>
      <c r="E93" s="15">
        <f>Неделя!E93</f>
        <v>0</v>
      </c>
      <c r="F93" s="15">
        <f>Неделя!F93</f>
        <v>0</v>
      </c>
      <c r="G93" s="15">
        <f>Неделя!G93</f>
        <v>0</v>
      </c>
      <c r="H93" s="15">
        <f>Неделя!L93</f>
        <v>0</v>
      </c>
    </row>
    <row r="94" spans="1:8" hidden="1">
      <c r="A94" s="15" t="str">
        <f>Неделя!A94</f>
        <v>Вояж володарская150 сер. 1 шт.нов.</v>
      </c>
      <c r="B94" s="15">
        <f>Неделя!B94</f>
        <v>1.2749999999999999</v>
      </c>
      <c r="C94" s="15">
        <f>Неделя!C94</f>
        <v>0</v>
      </c>
      <c r="D94" s="15">
        <f>Неделя!D94</f>
        <v>1</v>
      </c>
      <c r="E94" s="15">
        <f>Неделя!E94</f>
        <v>0</v>
      </c>
      <c r="F94" s="15">
        <f>Неделя!F94</f>
        <v>0</v>
      </c>
      <c r="G94" s="15">
        <f>Неделя!G94</f>
        <v>0</v>
      </c>
      <c r="H94" s="15">
        <f>Неделя!L94</f>
        <v>0</v>
      </c>
    </row>
    <row r="95" spans="1:8">
      <c r="A95" s="15" t="str">
        <f>Неделя!A95</f>
        <v>Газпроммежрегионгаз Гоголя 98   1x150</v>
      </c>
      <c r="B95" s="15">
        <f>Неделя!B95</f>
        <v>1.2749999999999999</v>
      </c>
      <c r="C95" s="15">
        <f>Неделя!C95</f>
        <v>0</v>
      </c>
      <c r="D95" s="15">
        <f>Неделя!D95</f>
        <v>0</v>
      </c>
      <c r="E95" s="15">
        <f>Неделя!E95</f>
        <v>0</v>
      </c>
      <c r="F95" s="15">
        <f>Неделя!F95</f>
        <v>0</v>
      </c>
      <c r="G95" s="15">
        <f>Неделя!G95</f>
        <v>0</v>
      </c>
      <c r="H95" s="15">
        <f>Неделя!L95</f>
        <v>1</v>
      </c>
    </row>
    <row r="96" spans="1:8">
      <c r="A96" s="15" t="str">
        <f>Неделя!A96</f>
        <v>газпроммежрегионгаз- 5х150</v>
      </c>
      <c r="B96" s="15">
        <f>Неделя!B96</f>
        <v>6.375</v>
      </c>
      <c r="C96" s="15">
        <f>Неделя!C96</f>
        <v>0</v>
      </c>
      <c r="D96" s="15">
        <f>Неделя!D96</f>
        <v>0</v>
      </c>
      <c r="E96" s="15">
        <f>Неделя!E96</f>
        <v>0</v>
      </c>
      <c r="F96" s="15">
        <f>Неделя!F96</f>
        <v>0</v>
      </c>
      <c r="G96" s="15">
        <f>Неделя!G96</f>
        <v>0</v>
      </c>
      <c r="H96" s="15">
        <f>Неделя!L96</f>
        <v>1</v>
      </c>
    </row>
    <row r="97" spans="1:8" hidden="1">
      <c r="A97" s="15" t="str">
        <f>Неделя!A97</f>
        <v>Джинса ленина 150</v>
      </c>
      <c r="B97" s="15">
        <f>Неделя!B97</f>
        <v>1.2749999999999999</v>
      </c>
      <c r="C97" s="15">
        <f>Неделя!C97</f>
        <v>0</v>
      </c>
      <c r="D97" s="15">
        <f>Неделя!D97</f>
        <v>1</v>
      </c>
      <c r="E97" s="15">
        <f>Неделя!E97</f>
        <v>0</v>
      </c>
      <c r="F97" s="15">
        <f>Неделя!F97</f>
        <v>0</v>
      </c>
      <c r="G97" s="15">
        <f>Неделя!G97</f>
        <v>0</v>
      </c>
      <c r="H97" s="15">
        <f>Неделя!L97</f>
        <v>0</v>
      </c>
    </row>
    <row r="98" spans="1:8">
      <c r="A98" s="15" t="str">
        <f>Неделя!A98</f>
        <v>Джулия пролетарская  200 хороший</v>
      </c>
      <c r="B98" s="15">
        <f>Неделя!B98</f>
        <v>2.0699999999999998</v>
      </c>
      <c r="C98" s="15">
        <f>Неделя!C98</f>
        <v>1</v>
      </c>
      <c r="D98" s="15">
        <f>Неделя!D98</f>
        <v>0</v>
      </c>
      <c r="E98" s="15">
        <f>Неделя!E98</f>
        <v>0</v>
      </c>
      <c r="F98" s="15">
        <f>Неделя!F98</f>
        <v>0</v>
      </c>
      <c r="G98" s="15">
        <f>Неделя!G98</f>
        <v>0</v>
      </c>
      <c r="H98" s="15">
        <f>Неделя!L98</f>
        <v>1</v>
      </c>
    </row>
    <row r="99" spans="1:8">
      <c r="A99" s="15" t="str">
        <f>Неделя!A99</f>
        <v>Джулия советская 180 </v>
      </c>
      <c r="B99" s="15">
        <f>Неделя!B99</f>
        <v>2.0699999999999998</v>
      </c>
      <c r="C99" s="15">
        <f>Неделя!C99</f>
        <v>1</v>
      </c>
      <c r="D99" s="15">
        <f>Неделя!D99</f>
        <v>0</v>
      </c>
      <c r="E99" s="15">
        <f>Неделя!E99</f>
        <v>0</v>
      </c>
      <c r="F99" s="15">
        <f>Неделя!F99</f>
        <v>0</v>
      </c>
      <c r="G99" s="15">
        <f>Неделя!G99</f>
        <v>0</v>
      </c>
      <c r="H99" s="15">
        <f>Неделя!L99</f>
        <v>1</v>
      </c>
    </row>
    <row r="100" spans="1:8" hidden="1">
      <c r="A100" s="15" t="str">
        <f>Неделя!A100</f>
        <v>Ив роше Ленина180</v>
      </c>
      <c r="B100" s="15">
        <f>Неделя!B100</f>
        <v>2.0699999999999998</v>
      </c>
      <c r="C100" s="15">
        <f>Неделя!C100</f>
        <v>1</v>
      </c>
      <c r="D100" s="15">
        <f>Неделя!D100</f>
        <v>0</v>
      </c>
      <c r="E100" s="15">
        <f>Неделя!E100</f>
        <v>0</v>
      </c>
      <c r="F100" s="15">
        <f>Неделя!F100</f>
        <v>0</v>
      </c>
      <c r="G100" s="15">
        <f>Неделя!G100</f>
        <v>0</v>
      </c>
      <c r="H100" s="15">
        <f>Неделя!L100</f>
        <v>0</v>
      </c>
    </row>
    <row r="101" spans="1:8" hidden="1">
      <c r="A101" s="15" t="str">
        <f>Неделя!A101</f>
        <v>Ик надежда 150</v>
      </c>
      <c r="B101" s="15">
        <f>Неделя!B101</f>
        <v>1.2749999999999999</v>
      </c>
      <c r="C101" s="15">
        <f>Неделя!C101</f>
        <v>0</v>
      </c>
      <c r="D101" s="15">
        <f>Неделя!D101</f>
        <v>1</v>
      </c>
      <c r="E101" s="15">
        <f>Неделя!E101</f>
        <v>0</v>
      </c>
      <c r="F101" s="15">
        <f>Неделя!F101</f>
        <v>0</v>
      </c>
      <c r="G101" s="15">
        <f>Неделя!G101</f>
        <v>0</v>
      </c>
      <c r="H101" s="15">
        <f>Неделя!L101</f>
        <v>0</v>
      </c>
    </row>
    <row r="102" spans="1:8" hidden="1">
      <c r="A102" s="15" t="str">
        <f>Неделя!A102</f>
        <v>Инвитро пушкина 189-2х150</v>
      </c>
      <c r="B102" s="15">
        <f>Неделя!B102</f>
        <v>1.2749999999999999</v>
      </c>
      <c r="C102" s="15">
        <f>Неделя!C102</f>
        <v>0</v>
      </c>
      <c r="D102" s="15">
        <f>Неделя!D102</f>
        <v>2</v>
      </c>
      <c r="E102" s="15">
        <f>Неделя!E102</f>
        <v>0</v>
      </c>
      <c r="F102" s="15">
        <f>Неделя!F102</f>
        <v>0</v>
      </c>
      <c r="G102" s="15">
        <f>Неделя!G102</f>
        <v>0</v>
      </c>
      <c r="H102" s="15">
        <f>Неделя!L102</f>
        <v>0</v>
      </c>
    </row>
    <row r="103" spans="1:8" hidden="1">
      <c r="A103" s="15" t="str">
        <f>Неделя!A103</f>
        <v>Инвитро юбилейный 180</v>
      </c>
      <c r="B103" s="15">
        <f>Неделя!B103</f>
        <v>2.0699999999999998</v>
      </c>
      <c r="C103" s="15">
        <f>Неделя!C103</f>
        <v>1</v>
      </c>
      <c r="D103" s="15">
        <f>Неделя!D103</f>
        <v>0</v>
      </c>
      <c r="E103" s="15">
        <f>Неделя!E103</f>
        <v>0</v>
      </c>
      <c r="F103" s="15">
        <f>Неделя!F103</f>
        <v>0</v>
      </c>
      <c r="G103" s="15">
        <f>Неделя!G103</f>
        <v>0</v>
      </c>
      <c r="H103" s="15">
        <f>Неделя!L103</f>
        <v>0</v>
      </c>
    </row>
    <row r="104" spans="1:8" hidden="1">
      <c r="A104" s="15" t="str">
        <f>Неделя!A104</f>
        <v>Ингострах 2х150</v>
      </c>
      <c r="B104" s="15">
        <f>Неделя!B104</f>
        <v>2.5499999999999998</v>
      </c>
      <c r="C104" s="15">
        <f>Неделя!C104</f>
        <v>0</v>
      </c>
      <c r="D104" s="15">
        <f>Неделя!D104</f>
        <v>2</v>
      </c>
      <c r="E104" s="15">
        <f>Неделя!E104</f>
        <v>0</v>
      </c>
      <c r="F104" s="15">
        <f>Неделя!F104</f>
        <v>0</v>
      </c>
      <c r="G104" s="15">
        <f>Неделя!G104</f>
        <v>0</v>
      </c>
      <c r="H104" s="15">
        <f>Неделя!L104</f>
        <v>0</v>
      </c>
    </row>
    <row r="105" spans="1:8" hidden="1">
      <c r="A105" s="15" t="str">
        <f>Неделя!A105</f>
        <v>Календарь подарков ленина-180</v>
      </c>
      <c r="B105" s="15">
        <f>Неделя!B105</f>
        <v>2.0699999999999998</v>
      </c>
      <c r="C105" s="15">
        <f>Неделя!C105</f>
        <v>1</v>
      </c>
      <c r="D105" s="15">
        <f>Неделя!D105</f>
        <v>0</v>
      </c>
      <c r="E105" s="15">
        <f>Неделя!E105</f>
        <v>0</v>
      </c>
      <c r="F105" s="15">
        <f>Неделя!F105</f>
        <v>0</v>
      </c>
      <c r="G105" s="15">
        <f>Неделя!G105</f>
        <v>0</v>
      </c>
      <c r="H105" s="15">
        <f>Неделя!L105</f>
        <v>0</v>
      </c>
    </row>
    <row r="106" spans="1:8" hidden="1">
      <c r="A106" s="15" t="str">
        <f>Неделя!A106</f>
        <v>Каменный цветок омская 101 150 нов</v>
      </c>
      <c r="B106" s="15">
        <f>Неделя!B106</f>
        <v>1.2749999999999999</v>
      </c>
      <c r="C106" s="15">
        <f>Неделя!C106</f>
        <v>0</v>
      </c>
      <c r="D106" s="15">
        <f>Неделя!D106</f>
        <v>1</v>
      </c>
      <c r="E106" s="15">
        <f>Неделя!E106</f>
        <v>0</v>
      </c>
      <c r="F106" s="15">
        <f>Неделя!F106</f>
        <v>0</v>
      </c>
      <c r="G106" s="15">
        <f>Неделя!G106</f>
        <v>0</v>
      </c>
      <c r="H106" s="15">
        <f>Неделя!L106</f>
        <v>0</v>
      </c>
    </row>
    <row r="107" spans="1:8" hidden="1">
      <c r="A107" s="15" t="str">
        <f>Неделя!A107</f>
        <v>Карэ гараж К.Маркса 60а    150</v>
      </c>
      <c r="B107" s="15">
        <f>Неделя!B107</f>
        <v>1.2749999999999999</v>
      </c>
      <c r="C107" s="15">
        <f>Неделя!C107</f>
        <v>0</v>
      </c>
      <c r="D107" s="15">
        <f>Неделя!D107</f>
        <v>1</v>
      </c>
      <c r="E107" s="15">
        <f>Неделя!E107</f>
        <v>0</v>
      </c>
      <c r="F107" s="15">
        <f>Неделя!F107</f>
        <v>0</v>
      </c>
      <c r="G107" s="15">
        <f>Неделя!G107</f>
        <v>0</v>
      </c>
      <c r="H107" s="15">
        <f>Неделя!L107</f>
        <v>0</v>
      </c>
    </row>
    <row r="108" spans="1:8">
      <c r="A108" s="15" t="str">
        <f>Неделя!A108</f>
        <v>Карэ гоголя 37 150 нов. кор. </v>
      </c>
      <c r="B108" s="15">
        <f>Неделя!B108</f>
        <v>1.2749999999999999</v>
      </c>
      <c r="C108" s="15">
        <f>Неделя!C108</f>
        <v>0</v>
      </c>
      <c r="D108" s="15">
        <f>Неделя!D108</f>
        <v>1</v>
      </c>
      <c r="E108" s="15">
        <f>Неделя!E108</f>
        <v>0</v>
      </c>
      <c r="F108" s="15">
        <f>Неделя!F108</f>
        <v>0</v>
      </c>
      <c r="G108" s="15">
        <f>Неделя!G108</f>
        <v>0</v>
      </c>
      <c r="H108" s="15">
        <f>Неделя!L108</f>
        <v>1</v>
      </c>
    </row>
    <row r="109" spans="1:8" hidden="1">
      <c r="A109" s="15" t="str">
        <f>Неделя!A109</f>
        <v>Карэ к. Маркса 46 3х150 нов кор</v>
      </c>
      <c r="B109" s="15">
        <f>Неделя!B109</f>
        <v>3.8249999999999997</v>
      </c>
      <c r="C109" s="15">
        <f>Неделя!C109</f>
        <v>0</v>
      </c>
      <c r="D109" s="15">
        <f>Неделя!D109</f>
        <v>3</v>
      </c>
      <c r="E109" s="15">
        <f>Неделя!E109</f>
        <v>0</v>
      </c>
      <c r="F109" s="15">
        <f>Неделя!F109</f>
        <v>0</v>
      </c>
      <c r="G109" s="15">
        <f>Неделя!G109</f>
        <v>0</v>
      </c>
      <c r="H109" s="15">
        <f>Неделя!L109</f>
        <v>0</v>
      </c>
    </row>
    <row r="110" spans="1:8" hidden="1">
      <c r="A110" s="15" t="str">
        <f>Неделя!A110</f>
        <v>Карэ ленина 150 коричневый</v>
      </c>
      <c r="B110" s="15">
        <f>Неделя!B110</f>
        <v>1.2749999999999999</v>
      </c>
      <c r="C110" s="15">
        <f>Неделя!C110</f>
        <v>0</v>
      </c>
      <c r="D110" s="15">
        <f>Неделя!D110</f>
        <v>1</v>
      </c>
      <c r="E110" s="15">
        <f>Неделя!E110</f>
        <v>0</v>
      </c>
      <c r="F110" s="15">
        <f>Неделя!F110</f>
        <v>0</v>
      </c>
      <c r="G110" s="15">
        <f>Неделя!G110</f>
        <v>0</v>
      </c>
      <c r="H110" s="15">
        <f>Неделя!L110</f>
        <v>0</v>
      </c>
    </row>
    <row r="111" spans="1:8">
      <c r="A111" s="15" t="str">
        <f>Неделя!A111</f>
        <v>Комиссоныч юбилейный-150 рез. </v>
      </c>
      <c r="B111" s="15">
        <f>Неделя!B111</f>
        <v>1.2749999999999999</v>
      </c>
      <c r="C111" s="15">
        <f>Неделя!C111</f>
        <v>0</v>
      </c>
      <c r="D111" s="15">
        <f>Неделя!D111</f>
        <v>1</v>
      </c>
      <c r="E111" s="15">
        <f>Неделя!E111</f>
        <v>0</v>
      </c>
      <c r="F111" s="15">
        <f>Неделя!F111</f>
        <v>0</v>
      </c>
      <c r="G111" s="15">
        <f>Неделя!G111</f>
        <v>0</v>
      </c>
      <c r="H111" s="15">
        <f>Неделя!L111</f>
        <v>1</v>
      </c>
    </row>
    <row r="112" spans="1:8" hidden="1">
      <c r="A112" s="15" t="str">
        <f>Неделя!A112</f>
        <v>Консультант + васильева 7 240старый </v>
      </c>
      <c r="B112" s="15">
        <f>Неделя!B112</f>
        <v>2.7</v>
      </c>
      <c r="C112" s="15">
        <f>Неделя!C112</f>
        <v>1</v>
      </c>
      <c r="D112" s="15">
        <f>Неделя!D112</f>
        <v>0</v>
      </c>
      <c r="E112" s="15">
        <f>Неделя!E112</f>
        <v>0</v>
      </c>
      <c r="F112" s="15">
        <f>Неделя!F112</f>
        <v>0</v>
      </c>
      <c r="G112" s="15">
        <f>Неделя!G112</f>
        <v>0</v>
      </c>
      <c r="H112" s="15">
        <f>Неделя!L112</f>
        <v>0</v>
      </c>
    </row>
    <row r="113" spans="1:8" hidden="1">
      <c r="A113" s="15">
        <f>Неделя!A113</f>
        <v>0</v>
      </c>
      <c r="B113" s="15">
        <f>Неделя!B113</f>
        <v>0</v>
      </c>
      <c r="C113" s="15">
        <f>Неделя!C113</f>
        <v>0</v>
      </c>
      <c r="D113" s="15">
        <f>Неделя!D113</f>
        <v>0</v>
      </c>
      <c r="E113" s="15">
        <f>Неделя!E113</f>
        <v>0</v>
      </c>
      <c r="F113" s="15">
        <f>Неделя!F113</f>
        <v>0</v>
      </c>
      <c r="G113" s="15">
        <f>Неделя!G113</f>
        <v>0</v>
      </c>
      <c r="H113" s="15">
        <f>Неделя!L113</f>
        <v>0</v>
      </c>
    </row>
    <row r="114" spans="1:8" hidden="1">
      <c r="A114" s="15">
        <f>Неделя!A114</f>
        <v>0</v>
      </c>
      <c r="B114" s="15">
        <f>Неделя!B114</f>
        <v>0</v>
      </c>
      <c r="C114" s="15">
        <f>Неделя!C114</f>
        <v>0</v>
      </c>
      <c r="D114" s="15">
        <f>Неделя!D114</f>
        <v>0</v>
      </c>
      <c r="E114" s="15">
        <f>Неделя!E114</f>
        <v>0</v>
      </c>
      <c r="F114" s="15">
        <f>Неделя!F114</f>
        <v>0</v>
      </c>
      <c r="G114" s="15">
        <f>Неделя!G114</f>
        <v>0</v>
      </c>
      <c r="H114" s="15">
        <f>Неделя!L114</f>
        <v>0</v>
      </c>
    </row>
    <row r="115" spans="1:8" hidden="1">
      <c r="A115" s="15" t="str">
        <f>Неделя!A115</f>
        <v>Мед центр  космольская 180</v>
      </c>
      <c r="B115" s="15">
        <f>Неделя!B115</f>
        <v>2.0699999999999998</v>
      </c>
      <c r="C115" s="15">
        <f>Неделя!C115</f>
        <v>1</v>
      </c>
      <c r="D115" s="15">
        <f>Неделя!D115</f>
        <v>0</v>
      </c>
      <c r="E115" s="15">
        <f>Неделя!E115</f>
        <v>0</v>
      </c>
      <c r="F115" s="15">
        <f>Неделя!F115</f>
        <v>0</v>
      </c>
      <c r="G115" s="15">
        <f>Неделя!G115</f>
        <v>0</v>
      </c>
      <c r="H115" s="15">
        <f>Неделя!L115</f>
        <v>0</v>
      </c>
    </row>
    <row r="116" spans="1:8">
      <c r="A116" s="15" t="str">
        <f>Неделя!A116</f>
        <v>Мисс т 150 сер, нов. 1шт.</v>
      </c>
      <c r="B116" s="15">
        <f>Неделя!B116</f>
        <v>1.2749999999999999</v>
      </c>
      <c r="C116" s="15">
        <f>Неделя!C116</f>
        <v>0</v>
      </c>
      <c r="D116" s="15">
        <f>Неделя!D116</f>
        <v>1</v>
      </c>
      <c r="E116" s="15">
        <f>Неделя!E116</f>
        <v>0</v>
      </c>
      <c r="F116" s="15">
        <f>Неделя!F116</f>
        <v>0</v>
      </c>
      <c r="G116" s="15">
        <f>Неделя!G116</f>
        <v>0</v>
      </c>
      <c r="H116" s="15">
        <f>Неделя!L116</f>
        <v>1</v>
      </c>
    </row>
    <row r="117" spans="1:8" hidden="1">
      <c r="A117" s="15" t="str">
        <f>Неделя!A117</f>
        <v>Неил хаус 150 новый</v>
      </c>
      <c r="B117" s="15">
        <f>Неделя!B117</f>
        <v>1.2749999999999999</v>
      </c>
      <c r="C117" s="15">
        <f>Неделя!C117</f>
        <v>0</v>
      </c>
      <c r="D117" s="15">
        <f>Неделя!D117</f>
        <v>1</v>
      </c>
      <c r="E117" s="15">
        <f>Неделя!E117</f>
        <v>0</v>
      </c>
      <c r="F117" s="15">
        <f>Неделя!F117</f>
        <v>0</v>
      </c>
      <c r="G117" s="15">
        <f>Неделя!G117</f>
        <v>0</v>
      </c>
      <c r="H117" s="15">
        <f>Неделя!L117</f>
        <v>0</v>
      </c>
    </row>
    <row r="118" spans="1:8" hidden="1">
      <c r="A118" s="15" t="str">
        <f>Неделя!A118</f>
        <v>Обувные ленина-3х150 старые </v>
      </c>
      <c r="B118" s="15">
        <f>Неделя!B118</f>
        <v>3.8249999999999997</v>
      </c>
      <c r="C118" s="15">
        <f>Неделя!C118</f>
        <v>0</v>
      </c>
      <c r="D118" s="15">
        <f>Неделя!D118</f>
        <v>3</v>
      </c>
      <c r="E118" s="15">
        <f>Неделя!E118</f>
        <v>0</v>
      </c>
      <c r="F118" s="15">
        <f>Неделя!F118</f>
        <v>0</v>
      </c>
      <c r="G118" s="15">
        <f>Неделя!G118</f>
        <v>0</v>
      </c>
      <c r="H118" s="15">
        <f>Неделя!L118</f>
        <v>0</v>
      </c>
    </row>
    <row r="119" spans="1:8" hidden="1">
      <c r="A119" s="15">
        <f>Неделя!A119</f>
        <v>0</v>
      </c>
      <c r="B119" s="15">
        <f>Неделя!B119</f>
        <v>0</v>
      </c>
      <c r="C119" s="15">
        <f>Неделя!C119</f>
        <v>0</v>
      </c>
      <c r="D119" s="15">
        <f>Неделя!D119</f>
        <v>0</v>
      </c>
      <c r="E119" s="15">
        <f>Неделя!E119</f>
        <v>0</v>
      </c>
      <c r="F119" s="15">
        <f>Неделя!F119</f>
        <v>0</v>
      </c>
      <c r="G119" s="15">
        <f>Неделя!G119</f>
        <v>0</v>
      </c>
      <c r="H119" s="15">
        <f>Неделя!L119</f>
        <v>0</v>
      </c>
    </row>
    <row r="120" spans="1:8">
      <c r="A120" s="15" t="str">
        <f>Неделя!A120</f>
        <v>Омс 2х180</v>
      </c>
      <c r="B120" s="15">
        <f>Неделя!B120</f>
        <v>4.1399999999999997</v>
      </c>
      <c r="C120" s="15">
        <f>Неделя!C120</f>
        <v>2</v>
      </c>
      <c r="D120" s="15">
        <f>Неделя!D120</f>
        <v>0</v>
      </c>
      <c r="E120" s="15">
        <f>Неделя!E120</f>
        <v>0</v>
      </c>
      <c r="F120" s="15">
        <f>Неделя!F120</f>
        <v>0</v>
      </c>
      <c r="G120" s="15">
        <f>Неделя!G120</f>
        <v>0</v>
      </c>
      <c r="H120" s="15">
        <f>Неделя!L120</f>
        <v>1</v>
      </c>
    </row>
    <row r="121" spans="1:8" hidden="1">
      <c r="A121" s="15" t="str">
        <f>Неделя!A121</f>
        <v>Отель сервис, ресторан 180х3</v>
      </c>
      <c r="B121" s="15">
        <f>Неделя!B121</f>
        <v>6.2099999999999991</v>
      </c>
      <c r="C121" s="15">
        <f>Неделя!C121</f>
        <v>3</v>
      </c>
      <c r="D121" s="15">
        <f>Неделя!D121</f>
        <v>0</v>
      </c>
      <c r="E121" s="15">
        <f>Неделя!E121</f>
        <v>0</v>
      </c>
      <c r="F121" s="15">
        <f>Неделя!F121</f>
        <v>0</v>
      </c>
      <c r="G121" s="15">
        <f>Неделя!G121</f>
        <v>0</v>
      </c>
      <c r="H121" s="15">
        <f>Неделя!L121</f>
        <v>0</v>
      </c>
    </row>
    <row r="122" spans="1:8" hidden="1">
      <c r="A122" s="15" t="str">
        <f>Неделя!A122</f>
        <v>Отп ленина-150 резаный </v>
      </c>
      <c r="B122" s="15">
        <f>Неделя!B122</f>
        <v>1.2749999999999999</v>
      </c>
      <c r="C122" s="15">
        <f>Неделя!C122</f>
        <v>0</v>
      </c>
      <c r="D122" s="15">
        <f>Неделя!D122</f>
        <v>1</v>
      </c>
      <c r="E122" s="15">
        <f>Неделя!E122</f>
        <v>0</v>
      </c>
      <c r="F122" s="15">
        <f>Неделя!F122</f>
        <v>0</v>
      </c>
      <c r="G122" s="15">
        <f>Неделя!G122</f>
        <v>0</v>
      </c>
      <c r="H122" s="15">
        <f>Неделя!L122</f>
        <v>0</v>
      </c>
    </row>
    <row r="123" spans="1:8" hidden="1">
      <c r="A123" s="15" t="str">
        <f>Неделя!A123</f>
        <v>Офис центр куйбышева-красина 180,150рез</v>
      </c>
      <c r="B123" s="15">
        <f>Неделя!B123</f>
        <v>3.3449999999999998</v>
      </c>
      <c r="C123" s="15">
        <f>Неделя!C123</f>
        <v>1</v>
      </c>
      <c r="D123" s="15">
        <f>Неделя!D123</f>
        <v>1</v>
      </c>
      <c r="E123" s="15">
        <f>Неделя!E123</f>
        <v>0</v>
      </c>
      <c r="F123" s="15">
        <f>Неделя!F123</f>
        <v>0</v>
      </c>
      <c r="G123" s="15">
        <f>Неделя!G123</f>
        <v>0</v>
      </c>
      <c r="H123" s="15">
        <f>Неделя!L123</f>
        <v>0</v>
      </c>
    </row>
    <row r="124" spans="1:8">
      <c r="A124" s="15" t="str">
        <f>Неделя!A124</f>
        <v>Палаццо Гоголя150 рез</v>
      </c>
      <c r="B124" s="15">
        <f>Неделя!B124</f>
        <v>1.2749999999999999</v>
      </c>
      <c r="C124" s="15">
        <f>Неделя!C124</f>
        <v>0</v>
      </c>
      <c r="D124" s="15">
        <f>Неделя!D124</f>
        <v>1</v>
      </c>
      <c r="E124" s="15">
        <f>Неделя!E124</f>
        <v>0</v>
      </c>
      <c r="F124" s="15">
        <f>Неделя!F124</f>
        <v>0</v>
      </c>
      <c r="G124" s="15">
        <f>Неделя!G124</f>
        <v>0</v>
      </c>
      <c r="H124" s="15">
        <f>Неделя!L124</f>
        <v>1</v>
      </c>
    </row>
    <row r="125" spans="1:8" hidden="1">
      <c r="A125" s="15" t="str">
        <f>Неделя!A125</f>
        <v>Парикмахерская тут бут 2х150 нов</v>
      </c>
      <c r="B125" s="15">
        <f>Неделя!B125</f>
        <v>2.5499999999999998</v>
      </c>
      <c r="C125" s="15">
        <f>Неделя!C125</f>
        <v>0</v>
      </c>
      <c r="D125" s="15">
        <f>Неделя!D125</f>
        <v>2</v>
      </c>
      <c r="E125" s="15">
        <f>Неделя!E125</f>
        <v>0</v>
      </c>
      <c r="F125" s="15">
        <f>Неделя!F125</f>
        <v>0</v>
      </c>
      <c r="G125" s="15">
        <f>Неделя!G125</f>
        <v>0</v>
      </c>
      <c r="H125" s="15">
        <f>Неделя!L125</f>
        <v>0</v>
      </c>
    </row>
    <row r="126" spans="1:8" hidden="1">
      <c r="A126" s="15" t="str">
        <f>Неделя!A126</f>
        <v>Планета обуви ленина- 2х200 старые</v>
      </c>
      <c r="B126" s="15">
        <f>Неделя!B126</f>
        <v>4.1399999999999997</v>
      </c>
      <c r="C126" s="15">
        <f>Неделя!C126</f>
        <v>2</v>
      </c>
      <c r="D126" s="15">
        <f>Неделя!D126</f>
        <v>0</v>
      </c>
      <c r="E126" s="15">
        <f>Неделя!E126</f>
        <v>0</v>
      </c>
      <c r="F126" s="15">
        <f>Неделя!F126</f>
        <v>0</v>
      </c>
      <c r="G126" s="15">
        <f>Неделя!G126</f>
        <v>0</v>
      </c>
      <c r="H126" s="15">
        <f>Неделя!L126</f>
        <v>0</v>
      </c>
    </row>
    <row r="127" spans="1:8" hidden="1">
      <c r="A127" s="15" t="str">
        <f>Неделя!A127</f>
        <v>Платинум володарская150 сер. 1 шт.</v>
      </c>
      <c r="B127" s="15">
        <f>Неделя!B127</f>
        <v>1.2749999999999999</v>
      </c>
      <c r="C127" s="15">
        <f>Неделя!C127</f>
        <v>0</v>
      </c>
      <c r="D127" s="15">
        <f>Неделя!D127</f>
        <v>1</v>
      </c>
      <c r="E127" s="15">
        <f>Неделя!E127</f>
        <v>0</v>
      </c>
      <c r="F127" s="15">
        <f>Неделя!F127</f>
        <v>0</v>
      </c>
      <c r="G127" s="15">
        <f>Неделя!G127</f>
        <v>0</v>
      </c>
      <c r="H127" s="15">
        <f>Неделя!L127</f>
        <v>0</v>
      </c>
    </row>
    <row r="128" spans="1:8" hidden="1">
      <c r="A128" s="15" t="str">
        <f>Неделя!A128</f>
        <v>Платон к.Мяготина 180</v>
      </c>
      <c r="B128" s="15">
        <f>Неделя!B128</f>
        <v>2.0699999999999998</v>
      </c>
      <c r="C128" s="15">
        <f>Неделя!C128</f>
        <v>1</v>
      </c>
      <c r="D128" s="15">
        <f>Неделя!D128</f>
        <v>0</v>
      </c>
      <c r="E128" s="15">
        <f>Неделя!E128</f>
        <v>0</v>
      </c>
      <c r="F128" s="15">
        <f>Неделя!F128</f>
        <v>0</v>
      </c>
      <c r="G128" s="15">
        <f>Неделя!G128</f>
        <v>0</v>
      </c>
      <c r="H128" s="15">
        <f>Неделя!L128</f>
        <v>0</v>
      </c>
    </row>
    <row r="129" spans="1:8">
      <c r="A129" s="15" t="str">
        <f>Неделя!A129</f>
        <v>Подиум ленина 180</v>
      </c>
      <c r="B129" s="15">
        <f>Неделя!B129</f>
        <v>2.0699999999999998</v>
      </c>
      <c r="C129" s="15">
        <f>Неделя!C129</f>
        <v>1</v>
      </c>
      <c r="D129" s="15">
        <f>Неделя!D129</f>
        <v>0</v>
      </c>
      <c r="E129" s="15">
        <f>Неделя!E129</f>
        <v>0</v>
      </c>
      <c r="F129" s="15">
        <f>Неделя!F129</f>
        <v>0</v>
      </c>
      <c r="G129" s="15">
        <f>Неделя!G129</f>
        <v>0</v>
      </c>
      <c r="H129" s="15">
        <f>Неделя!L129</f>
        <v>1</v>
      </c>
    </row>
    <row r="130" spans="1:8" hidden="1">
      <c r="A130" s="15" t="str">
        <f>Неделя!A130</f>
        <v>Прайм фитнес клуб 2х150 новые </v>
      </c>
      <c r="B130" s="15">
        <f>Неделя!B130</f>
        <v>2.5499999999999998</v>
      </c>
      <c r="C130" s="15">
        <f>Неделя!C130</f>
        <v>0</v>
      </c>
      <c r="D130" s="15">
        <f>Неделя!D130</f>
        <v>2</v>
      </c>
      <c r="E130" s="15">
        <f>Неделя!E130</f>
        <v>0</v>
      </c>
      <c r="F130" s="15">
        <f>Неделя!F130</f>
        <v>0</v>
      </c>
      <c r="G130" s="15">
        <f>Неделя!G130</f>
        <v>0</v>
      </c>
      <c r="H130" s="15">
        <f>Неделя!L130</f>
        <v>0</v>
      </c>
    </row>
    <row r="131" spans="1:8" hidden="1">
      <c r="A131" s="15" t="str">
        <f>Неделя!A131</f>
        <v xml:space="preserve">Пышка </v>
      </c>
      <c r="B131" s="15">
        <f>Неделя!B131</f>
        <v>1.2749999999999999</v>
      </c>
      <c r="C131" s="15">
        <f>Неделя!C131</f>
        <v>0</v>
      </c>
      <c r="D131" s="15">
        <f>Неделя!D131</f>
        <v>1</v>
      </c>
      <c r="E131" s="15">
        <f>Неделя!E131</f>
        <v>0</v>
      </c>
      <c r="F131" s="15">
        <f>Неделя!F131</f>
        <v>0</v>
      </c>
      <c r="G131" s="15">
        <f>Неделя!G131</f>
        <v>0</v>
      </c>
      <c r="H131" s="15">
        <f>Неделя!L131</f>
        <v>0</v>
      </c>
    </row>
    <row r="132" spans="1:8">
      <c r="A132" s="15" t="str">
        <f>Неделя!A132</f>
        <v>Разговоры ЦПКОИ 180</v>
      </c>
      <c r="B132" s="15">
        <f>Неделя!B132</f>
        <v>2.0699999999999998</v>
      </c>
      <c r="C132" s="15">
        <f>Неделя!C132</f>
        <v>1</v>
      </c>
      <c r="D132" s="15">
        <f>Неделя!D132</f>
        <v>0</v>
      </c>
      <c r="E132" s="15">
        <f>Неделя!E132</f>
        <v>0</v>
      </c>
      <c r="F132" s="15">
        <f>Неделя!F132</f>
        <v>0</v>
      </c>
      <c r="G132" s="15">
        <f>Неделя!G132</f>
        <v>0</v>
      </c>
      <c r="H132" s="15">
        <f>Неделя!L132</f>
        <v>1</v>
      </c>
    </row>
    <row r="133" spans="1:8" hidden="1">
      <c r="A133" s="15" t="str">
        <f>Неделя!A133</f>
        <v>Рикер ленина-200 старый </v>
      </c>
      <c r="B133" s="15">
        <f>Неделя!B133</f>
        <v>2.0699999999999998</v>
      </c>
      <c r="C133" s="15">
        <f>Неделя!C133</f>
        <v>1</v>
      </c>
      <c r="D133" s="15">
        <f>Неделя!D133</f>
        <v>0</v>
      </c>
      <c r="E133" s="15">
        <f>Неделя!E133</f>
        <v>0</v>
      </c>
      <c r="F133" s="15">
        <f>Неделя!F133</f>
        <v>0</v>
      </c>
      <c r="G133" s="15">
        <f>Неделя!G133</f>
        <v>0</v>
      </c>
      <c r="H133" s="15">
        <f>Неделя!L133</f>
        <v>0</v>
      </c>
    </row>
    <row r="134" spans="1:8" hidden="1">
      <c r="A134" s="15" t="str">
        <f>Неделя!A134</f>
        <v>Саквояж ленина-180</v>
      </c>
      <c r="B134" s="15">
        <f>Неделя!B134</f>
        <v>2.0699999999999998</v>
      </c>
      <c r="C134" s="15">
        <f>Неделя!C134</f>
        <v>1</v>
      </c>
      <c r="D134" s="15">
        <f>Неделя!D134</f>
        <v>0</v>
      </c>
      <c r="E134" s="15">
        <f>Неделя!E134</f>
        <v>0</v>
      </c>
      <c r="F134" s="15">
        <f>Неделя!F134</f>
        <v>0</v>
      </c>
      <c r="G134" s="15">
        <f>Неделя!G134</f>
        <v>0</v>
      </c>
      <c r="H134" s="15">
        <f>Неделя!L134</f>
        <v>0</v>
      </c>
    </row>
    <row r="135" spans="1:8" hidden="1">
      <c r="A135" s="15">
        <f>Неделя!A135</f>
        <v>0</v>
      </c>
      <c r="B135" s="15">
        <f>Неделя!B135</f>
        <v>0</v>
      </c>
      <c r="C135" s="15">
        <f>Неделя!C135</f>
        <v>0</v>
      </c>
      <c r="D135" s="15">
        <f>Неделя!D135</f>
        <v>0</v>
      </c>
      <c r="E135" s="15">
        <f>Неделя!E135</f>
        <v>0</v>
      </c>
      <c r="F135" s="15">
        <f>Неделя!F135</f>
        <v>0</v>
      </c>
      <c r="G135" s="15">
        <f>Неделя!G135</f>
        <v>0</v>
      </c>
      <c r="H135" s="15">
        <f>Неделя!L135</f>
        <v>0</v>
      </c>
    </row>
    <row r="136" spans="1:8" hidden="1">
      <c r="A136" s="15" t="str">
        <f>Неделя!A136</f>
        <v>Сибирский газовик володарского 65, 150 сер. 3 шт</v>
      </c>
      <c r="B136" s="15">
        <f>Неделя!B136</f>
        <v>3.8249999999999997</v>
      </c>
      <c r="C136" s="15">
        <f>Неделя!C136</f>
        <v>0</v>
      </c>
      <c r="D136" s="15">
        <f>Неделя!D136</f>
        <v>3</v>
      </c>
      <c r="E136" s="15">
        <f>Неделя!E136</f>
        <v>0</v>
      </c>
      <c r="F136" s="15">
        <f>Неделя!F136</f>
        <v>0</v>
      </c>
      <c r="G136" s="15">
        <f>Неделя!G136</f>
        <v>0</v>
      </c>
      <c r="H136" s="15">
        <f>Неделя!L136</f>
        <v>0</v>
      </c>
    </row>
    <row r="137" spans="1:8" hidden="1">
      <c r="A137" s="15" t="str">
        <f>Неделя!A137</f>
        <v>Скорпион 150 </v>
      </c>
      <c r="B137" s="15">
        <f>Неделя!B137</f>
        <v>1.2749999999999999</v>
      </c>
      <c r="C137" s="15">
        <f>Неделя!C137</f>
        <v>0</v>
      </c>
      <c r="D137" s="15">
        <f>Неделя!D137</f>
        <v>1</v>
      </c>
      <c r="E137" s="15">
        <f>Неделя!E137</f>
        <v>0</v>
      </c>
      <c r="F137" s="15">
        <f>Неделя!F137</f>
        <v>0</v>
      </c>
      <c r="G137" s="15">
        <f>Неделя!G137</f>
        <v>0</v>
      </c>
      <c r="H137" s="15">
        <f>Неделя!L137</f>
        <v>0</v>
      </c>
    </row>
    <row r="138" spans="1:8" hidden="1">
      <c r="A138" s="15">
        <f>Неделя!A138</f>
        <v>0</v>
      </c>
      <c r="B138" s="15">
        <f>Неделя!B138</f>
        <v>0</v>
      </c>
      <c r="C138" s="15">
        <f>Неделя!C138</f>
        <v>0</v>
      </c>
      <c r="D138" s="15">
        <f>Неделя!D138</f>
        <v>0</v>
      </c>
      <c r="E138" s="15">
        <f>Неделя!E138</f>
        <v>0</v>
      </c>
      <c r="F138" s="15">
        <f>Неделя!F138</f>
        <v>0</v>
      </c>
      <c r="G138" s="15">
        <f>Неделя!G138</f>
        <v>0</v>
      </c>
      <c r="H138" s="15">
        <f>Неделя!L138</f>
        <v>0</v>
      </c>
    </row>
    <row r="139" spans="1:8">
      <c r="A139" s="15" t="str">
        <f>Неделя!A139</f>
        <v>Совкомбанк Ленина 180</v>
      </c>
      <c r="B139" s="15">
        <f>Неделя!B139</f>
        <v>2.0699999999999998</v>
      </c>
      <c r="C139" s="15">
        <f>Неделя!C139</f>
        <v>1</v>
      </c>
      <c r="D139" s="15">
        <f>Неделя!D139</f>
        <v>0</v>
      </c>
      <c r="E139" s="15">
        <f>Неделя!E139</f>
        <v>0</v>
      </c>
      <c r="F139" s="15">
        <f>Неделя!F139</f>
        <v>0</v>
      </c>
      <c r="G139" s="15">
        <f>Неделя!G139</f>
        <v>0</v>
      </c>
      <c r="H139" s="15">
        <f>Неделя!L139</f>
        <v>1</v>
      </c>
    </row>
    <row r="140" spans="1:8">
      <c r="A140" s="15" t="str">
        <f>Неделя!A140</f>
        <v>совкомбанк гоголя-180 </v>
      </c>
      <c r="B140" s="15">
        <f>Неделя!B140</f>
        <v>2.0699999999999998</v>
      </c>
      <c r="C140" s="15">
        <f>Неделя!C140</f>
        <v>1</v>
      </c>
      <c r="D140" s="15">
        <f>Неделя!D140</f>
        <v>0</v>
      </c>
      <c r="E140" s="15">
        <f>Неделя!E140</f>
        <v>0</v>
      </c>
      <c r="F140" s="15">
        <f>Неделя!F140</f>
        <v>0</v>
      </c>
      <c r="G140" s="15">
        <f>Неделя!G140</f>
        <v>0</v>
      </c>
      <c r="H140" s="15">
        <f>Неделя!L140</f>
        <v>1</v>
      </c>
    </row>
    <row r="141" spans="1:8">
      <c r="A141" s="15" t="str">
        <f>Неделя!A141</f>
        <v>Стиляги площадь серый новый 150+150</v>
      </c>
      <c r="B141" s="15">
        <f>Неделя!B141</f>
        <v>2.5499999999999998</v>
      </c>
      <c r="C141" s="15">
        <f>Неделя!C141</f>
        <v>0</v>
      </c>
      <c r="D141" s="15">
        <f>Неделя!D141</f>
        <v>2</v>
      </c>
      <c r="E141" s="15">
        <f>Неделя!E141</f>
        <v>0</v>
      </c>
      <c r="F141" s="15">
        <f>Неделя!F141</f>
        <v>0</v>
      </c>
      <c r="G141" s="15">
        <f>Неделя!G141</f>
        <v>0</v>
      </c>
      <c r="H141" s="15">
        <f>Неделя!L141</f>
        <v>1</v>
      </c>
    </row>
    <row r="142" spans="1:8" hidden="1">
      <c r="A142" s="15" t="str">
        <f>Неделя!A142</f>
        <v>Триумф 180</v>
      </c>
      <c r="B142" s="15">
        <f>Неделя!B142</f>
        <v>2.0699999999999998</v>
      </c>
      <c r="C142" s="15">
        <f>Неделя!C142</f>
        <v>1</v>
      </c>
      <c r="D142" s="15">
        <f>Неделя!D142</f>
        <v>0</v>
      </c>
      <c r="E142" s="15">
        <f>Неделя!E142</f>
        <v>0</v>
      </c>
      <c r="F142" s="15">
        <f>Неделя!F142</f>
        <v>0</v>
      </c>
      <c r="G142" s="15">
        <f>Неделя!G142</f>
        <v>0</v>
      </c>
      <c r="H142" s="15">
        <f>Неделя!L142</f>
        <v>0</v>
      </c>
    </row>
    <row r="143" spans="1:8" hidden="1">
      <c r="A143" s="15">
        <f>Неделя!A143</f>
        <v>0</v>
      </c>
      <c r="B143" s="15">
        <f>Неделя!B143</f>
        <v>0</v>
      </c>
      <c r="C143" s="15">
        <f>Неделя!C143</f>
        <v>0</v>
      </c>
      <c r="D143" s="15">
        <f>Неделя!D143</f>
        <v>0</v>
      </c>
      <c r="E143" s="15">
        <f>Неделя!E143</f>
        <v>0</v>
      </c>
      <c r="F143" s="15">
        <f>Неделя!F143</f>
        <v>0</v>
      </c>
      <c r="G143" s="15">
        <f>Неделя!G143</f>
        <v>0</v>
      </c>
      <c r="H143" s="15">
        <f>Неделя!L143</f>
        <v>0</v>
      </c>
    </row>
    <row r="144" spans="1:8" hidden="1">
      <c r="A144" s="15" t="str">
        <f>Неделя!A144</f>
        <v>Фам-150</v>
      </c>
      <c r="B144" s="15">
        <f>Неделя!B144</f>
        <v>1.2749999999999999</v>
      </c>
      <c r="C144" s="15">
        <f>Неделя!C144</f>
        <v>0</v>
      </c>
      <c r="D144" s="15">
        <f>Неделя!D144</f>
        <v>1</v>
      </c>
      <c r="E144" s="15">
        <f>Неделя!E144</f>
        <v>0</v>
      </c>
      <c r="F144" s="15">
        <f>Неделя!F144</f>
        <v>0</v>
      </c>
      <c r="G144" s="15">
        <f>Неделя!G144</f>
        <v>0</v>
      </c>
      <c r="H144" s="15">
        <f>Неделя!L144</f>
        <v>0</v>
      </c>
    </row>
    <row r="145" spans="1:8" hidden="1">
      <c r="A145" s="15" t="str">
        <f>Неделя!A145</f>
        <v>Франческо донни 150 рез. </v>
      </c>
      <c r="B145" s="15">
        <f>Неделя!B145</f>
        <v>1.2749999999999999</v>
      </c>
      <c r="C145" s="15">
        <f>Неделя!C145</f>
        <v>0</v>
      </c>
      <c r="D145" s="15">
        <f>Неделя!D145</f>
        <v>1</v>
      </c>
      <c r="E145" s="15">
        <f>Неделя!E145</f>
        <v>0</v>
      </c>
      <c r="F145" s="15">
        <f>Неделя!F145</f>
        <v>0</v>
      </c>
      <c r="G145" s="15">
        <f>Неделя!G145</f>
        <v>0</v>
      </c>
      <c r="H145" s="15">
        <f>Неделя!L145</f>
        <v>0</v>
      </c>
    </row>
    <row r="146" spans="1:8" hidden="1">
      <c r="A146" s="15" t="str">
        <f>Неделя!A146</f>
        <v>чунунок к. Мяготина-1x180</v>
      </c>
      <c r="B146" s="15">
        <f>Неделя!B146</f>
        <v>2.0699999999999998</v>
      </c>
      <c r="C146" s="15">
        <f>Неделя!C146</f>
        <v>1</v>
      </c>
      <c r="D146" s="15">
        <f>Неделя!D146</f>
        <v>0</v>
      </c>
      <c r="E146" s="15">
        <f>Неделя!E146</f>
        <v>0</v>
      </c>
      <c r="F146" s="15">
        <f>Неделя!F146</f>
        <v>0</v>
      </c>
      <c r="G146" s="15">
        <f>Неделя!G146</f>
        <v>0</v>
      </c>
      <c r="H146" s="15">
        <f>Неделя!L146</f>
        <v>0</v>
      </c>
    </row>
    <row r="147" spans="1:8">
      <c r="A147" s="15" t="str">
        <f>Неделя!A147</f>
        <v>Швейный мир 2-60х80</v>
      </c>
      <c r="B147" s="15">
        <f>Неделя!B147</f>
        <v>2.5499999999999998</v>
      </c>
      <c r="C147" s="15">
        <f>Неделя!C147</f>
        <v>0</v>
      </c>
      <c r="D147" s="15">
        <f>Неделя!D147</f>
        <v>0</v>
      </c>
      <c r="E147" s="15">
        <f>Неделя!E147</f>
        <v>2</v>
      </c>
      <c r="F147" s="15">
        <f>Неделя!F147</f>
        <v>0</v>
      </c>
      <c r="G147" s="15">
        <f>Неделя!G147</f>
        <v>0</v>
      </c>
      <c r="H147" s="15">
        <f>Неделя!L147</f>
        <v>1</v>
      </c>
    </row>
    <row r="148" spans="1:8" hidden="1">
      <c r="A148" s="15">
        <f>Неделя!A148</f>
        <v>0</v>
      </c>
      <c r="B148" s="15">
        <f>Неделя!B148</f>
        <v>0</v>
      </c>
      <c r="C148" s="15">
        <f>Неделя!C148</f>
        <v>0</v>
      </c>
      <c r="D148" s="15">
        <f>Неделя!D148</f>
        <v>0</v>
      </c>
      <c r="E148" s="15">
        <f>Неделя!E148</f>
        <v>0</v>
      </c>
      <c r="F148" s="15">
        <f>Неделя!F148</f>
        <v>0</v>
      </c>
      <c r="G148" s="15">
        <f>Неделя!G148</f>
        <v>0</v>
      </c>
      <c r="H148" s="15">
        <f>Неделя!L148</f>
        <v>0</v>
      </c>
    </row>
    <row r="149" spans="1:8">
      <c r="A149" s="15" t="str">
        <f>Неделя!A149</f>
        <v>Эльшуз 150 </v>
      </c>
      <c r="B149" s="15">
        <f>Неделя!B149</f>
        <v>1.2749999999999999</v>
      </c>
      <c r="C149" s="15">
        <f>Неделя!C149</f>
        <v>0</v>
      </c>
      <c r="D149" s="15">
        <f>Неделя!D149</f>
        <v>1</v>
      </c>
      <c r="E149" s="15">
        <f>Неделя!E149</f>
        <v>0</v>
      </c>
      <c r="F149" s="15">
        <f>Неделя!F149</f>
        <v>0</v>
      </c>
      <c r="G149" s="15">
        <f>Неделя!G149</f>
        <v>0</v>
      </c>
      <c r="H149" s="15">
        <f>Неделя!L149</f>
        <v>1</v>
      </c>
    </row>
    <row r="150" spans="1:8" hidden="1">
      <c r="A150" s="15" t="str">
        <f>Неделя!A150</f>
        <v>Япошка Юбилейный 150 резаный</v>
      </c>
      <c r="B150" s="15">
        <f>Неделя!B150</f>
        <v>1.2749999999999999</v>
      </c>
      <c r="C150" s="15">
        <f>Неделя!C150</f>
        <v>0</v>
      </c>
      <c r="D150" s="15">
        <f>Неделя!D150</f>
        <v>1</v>
      </c>
      <c r="E150" s="15">
        <f>Неделя!E150</f>
        <v>0</v>
      </c>
      <c r="F150" s="15">
        <f>Неделя!F150</f>
        <v>0</v>
      </c>
      <c r="G150" s="15">
        <f>Неделя!G150</f>
        <v>0</v>
      </c>
      <c r="H150" s="15">
        <f>Неделя!L150</f>
        <v>0</v>
      </c>
    </row>
    <row r="151" spans="1:8">
      <c r="A151" s="15" t="str">
        <f>Неделя!A151</f>
        <v>Plaza томина 150 ноябрь </v>
      </c>
      <c r="B151" s="15">
        <f>Неделя!B151</f>
        <v>1.2749999999999999</v>
      </c>
      <c r="C151" s="15">
        <f>Неделя!C151</f>
        <v>0</v>
      </c>
      <c r="D151" s="15">
        <f>Неделя!D151</f>
        <v>1</v>
      </c>
      <c r="E151" s="15">
        <f>Неделя!E151</f>
        <v>0</v>
      </c>
      <c r="F151" s="15">
        <f>Неделя!F151</f>
        <v>0</v>
      </c>
      <c r="G151" s="15">
        <f>Неделя!G151</f>
        <v>0</v>
      </c>
      <c r="H151" s="15">
        <f>Неделя!L151</f>
        <v>1</v>
      </c>
    </row>
    <row r="152" spans="1:8">
      <c r="A152" s="15" t="str">
        <f>Неделя!A152</f>
        <v>SoupRamen 180  </v>
      </c>
      <c r="B152" s="15">
        <f>Неделя!B152</f>
        <v>2.0699999999999998</v>
      </c>
      <c r="C152" s="15">
        <f>Неделя!C152</f>
        <v>1</v>
      </c>
      <c r="D152" s="15">
        <f>Неделя!D152</f>
        <v>0</v>
      </c>
      <c r="E152" s="15">
        <f>Неделя!E152</f>
        <v>0</v>
      </c>
      <c r="F152" s="15">
        <f>Неделя!F152</f>
        <v>0</v>
      </c>
      <c r="G152" s="15">
        <f>Неделя!G152</f>
        <v>0</v>
      </c>
      <c r="H152" s="15">
        <f>Неделя!L152</f>
        <v>1</v>
      </c>
    </row>
    <row r="153" spans="1:8">
      <c r="A153" s="15">
        <f>Неделя!A154</f>
        <v>0</v>
      </c>
      <c r="B153" s="15">
        <f>SUBTOTAL(9,B1:B152)</f>
        <v>140.21499999999997</v>
      </c>
      <c r="C153" s="15">
        <f>Неделя!C154</f>
        <v>180</v>
      </c>
      <c r="D153" s="15">
        <f>Неделя!D154</f>
        <v>150</v>
      </c>
      <c r="E153" s="15" t="str">
        <f>Неделя!E154</f>
        <v xml:space="preserve">рез </v>
      </c>
      <c r="F153" s="15">
        <f>Неделя!F154</f>
        <v>400</v>
      </c>
      <c r="G153" s="15">
        <f>Неделя!G154</f>
        <v>250</v>
      </c>
      <c r="H153" s="15" t="str">
        <f>Неделя!L154</f>
        <v>чт</v>
      </c>
    </row>
    <row r="154" spans="1:8" hidden="1">
      <c r="A154" s="15">
        <f>Неделя!A155</f>
        <v>0</v>
      </c>
      <c r="B154" s="15">
        <f>Неделя!B155</f>
        <v>98.50999999999992</v>
      </c>
      <c r="C154" s="15">
        <f>Неделя!C155</f>
        <v>180</v>
      </c>
      <c r="D154" s="15">
        <f>Неделя!D155</f>
        <v>150</v>
      </c>
      <c r="E154" s="15" t="str">
        <f>Неделя!E155</f>
        <v xml:space="preserve">рез </v>
      </c>
      <c r="F154" s="15">
        <f>Неделя!F155</f>
        <v>400</v>
      </c>
      <c r="G154" s="15">
        <f>Неделя!G155</f>
        <v>250</v>
      </c>
      <c r="H154" s="15">
        <f>Неделя!L155</f>
        <v>0</v>
      </c>
    </row>
    <row r="155" spans="1:8" hidden="1">
      <c r="A155" s="15">
        <f>Неделя!A156</f>
        <v>0</v>
      </c>
      <c r="B155" s="15">
        <f>Неделя!B156</f>
        <v>0</v>
      </c>
      <c r="C155" s="15">
        <f>Неделя!C156</f>
        <v>28</v>
      </c>
      <c r="D155" s="15">
        <f>Неделя!D156</f>
        <v>23</v>
      </c>
      <c r="E155" s="15">
        <f>Неделя!E156</f>
        <v>3</v>
      </c>
      <c r="F155" s="15">
        <f>Неделя!F156</f>
        <v>1</v>
      </c>
      <c r="G155" s="15">
        <f>Неделя!G156</f>
        <v>1</v>
      </c>
      <c r="H155" s="15">
        <f>Неделя!L156</f>
        <v>0</v>
      </c>
    </row>
    <row r="156" spans="1:8" hidden="1">
      <c r="A156" s="15">
        <f>Неделя!A157</f>
        <v>0</v>
      </c>
      <c r="B156" s="15">
        <f>Неделя!B157</f>
        <v>0</v>
      </c>
      <c r="C156" s="15">
        <f>Неделя!C157</f>
        <v>0</v>
      </c>
      <c r="D156" s="15">
        <f>Неделя!D157</f>
        <v>0</v>
      </c>
      <c r="E156" s="15">
        <f>Неделя!E157</f>
        <v>0</v>
      </c>
      <c r="F156" s="15">
        <f>Неделя!F157</f>
        <v>0</v>
      </c>
      <c r="G156" s="15">
        <f>Неделя!G157</f>
        <v>0</v>
      </c>
      <c r="H156" s="15">
        <f>Неделя!L157</f>
        <v>0</v>
      </c>
    </row>
    <row r="157" spans="1:8" hidden="1">
      <c r="A157" s="15">
        <f>Неделя!A158</f>
        <v>0</v>
      </c>
      <c r="B157" s="15">
        <f>Неделя!B158</f>
        <v>0</v>
      </c>
      <c r="C157" s="15">
        <f>Неделя!C158</f>
        <v>0</v>
      </c>
      <c r="D157" s="15">
        <f>Неделя!D158</f>
        <v>0</v>
      </c>
      <c r="E157" s="15">
        <f>Неделя!E158</f>
        <v>0</v>
      </c>
      <c r="F157" s="15">
        <f>Неделя!F158</f>
        <v>0</v>
      </c>
      <c r="G157" s="15">
        <f>Неделя!G158</f>
        <v>0</v>
      </c>
      <c r="H157" s="15">
        <f>Неделя!L158</f>
        <v>0</v>
      </c>
    </row>
    <row r="158" spans="1:8" hidden="1">
      <c r="A158" s="15">
        <f>Неделя!A159</f>
        <v>0</v>
      </c>
      <c r="B158" s="15">
        <f>Неделя!B159</f>
        <v>0</v>
      </c>
      <c r="C158" s="15">
        <f>Неделя!C159</f>
        <v>0</v>
      </c>
      <c r="D158" s="15">
        <f>Неделя!D159</f>
        <v>0</v>
      </c>
      <c r="E158" s="15">
        <f>Неделя!E159</f>
        <v>0</v>
      </c>
      <c r="F158" s="15">
        <f>Неделя!F159</f>
        <v>0</v>
      </c>
      <c r="G158" s="15">
        <f>Неделя!G159</f>
        <v>0</v>
      </c>
      <c r="H158" s="15">
        <f>Неделя!L159</f>
        <v>0</v>
      </c>
    </row>
    <row r="159" spans="1:8" hidden="1">
      <c r="A159" s="15">
        <f>Неделя!A160</f>
        <v>0</v>
      </c>
      <c r="B159" s="15">
        <f>Неделя!B160</f>
        <v>0</v>
      </c>
      <c r="C159" s="15">
        <f>Неделя!C160</f>
        <v>0</v>
      </c>
      <c r="D159" s="15">
        <f>Неделя!D160</f>
        <v>0</v>
      </c>
      <c r="E159" s="15">
        <f>Неделя!E160</f>
        <v>0</v>
      </c>
      <c r="F159" s="15">
        <f>Неделя!F160</f>
        <v>0</v>
      </c>
      <c r="G159" s="15">
        <f>Неделя!G160</f>
        <v>0</v>
      </c>
      <c r="H159" s="15">
        <f>Неделя!L160</f>
        <v>0</v>
      </c>
    </row>
    <row r="160" spans="1:8" hidden="1">
      <c r="A160" s="15">
        <f>Неделя!A161</f>
        <v>0</v>
      </c>
      <c r="B160" s="15">
        <f>Неделя!B161</f>
        <v>0</v>
      </c>
      <c r="C160" s="15">
        <f>Неделя!C161</f>
        <v>0</v>
      </c>
      <c r="D160" s="15">
        <f>Неделя!D161</f>
        <v>0</v>
      </c>
      <c r="E160" s="15">
        <f>Неделя!E161</f>
        <v>0</v>
      </c>
      <c r="F160" s="15">
        <f>Неделя!F161</f>
        <v>0</v>
      </c>
      <c r="G160" s="15">
        <f>Неделя!G161</f>
        <v>0</v>
      </c>
      <c r="H160" s="15">
        <f>Неделя!L161</f>
        <v>0</v>
      </c>
    </row>
    <row r="161" spans="1:8" hidden="1">
      <c r="A161" s="15">
        <f>Неделя!A162</f>
        <v>0</v>
      </c>
      <c r="B161" s="15">
        <f>Неделя!B162</f>
        <v>0</v>
      </c>
      <c r="C161" s="15">
        <f>Неделя!C162</f>
        <v>0</v>
      </c>
      <c r="D161" s="15">
        <f>Неделя!D162</f>
        <v>0</v>
      </c>
      <c r="E161" s="15">
        <f>Неделя!E162</f>
        <v>0</v>
      </c>
      <c r="F161" s="15">
        <f>Неделя!F162</f>
        <v>0</v>
      </c>
      <c r="G161" s="15">
        <f>Неделя!G162</f>
        <v>0</v>
      </c>
      <c r="H161" s="15">
        <f>Неделя!L162</f>
        <v>0</v>
      </c>
    </row>
    <row r="162" spans="1:8" hidden="1">
      <c r="A162" s="15">
        <f>Неделя!A163</f>
        <v>0</v>
      </c>
      <c r="B162" s="15">
        <f>Неделя!B163</f>
        <v>0</v>
      </c>
      <c r="C162" s="15">
        <f>Неделя!C163</f>
        <v>0</v>
      </c>
      <c r="D162" s="15">
        <f>Неделя!D163</f>
        <v>0</v>
      </c>
      <c r="E162" s="15">
        <f>Неделя!E163</f>
        <v>0</v>
      </c>
      <c r="F162" s="15">
        <f>Неделя!F163</f>
        <v>0</v>
      </c>
      <c r="G162" s="15">
        <f>Неделя!G163</f>
        <v>0</v>
      </c>
      <c r="H162" s="15">
        <f>Неделя!L163</f>
        <v>0</v>
      </c>
    </row>
    <row r="163" spans="1:8" hidden="1">
      <c r="A163" s="15">
        <f>Неделя!A164</f>
        <v>0</v>
      </c>
      <c r="B163" s="15">
        <f>Неделя!B164</f>
        <v>0</v>
      </c>
      <c r="C163" s="15">
        <f>Неделя!C164</f>
        <v>0</v>
      </c>
      <c r="D163" s="15">
        <f>Неделя!D164</f>
        <v>0</v>
      </c>
      <c r="E163" s="15">
        <f>Неделя!E164</f>
        <v>0</v>
      </c>
      <c r="F163" s="15">
        <f>Неделя!F164</f>
        <v>0</v>
      </c>
      <c r="G163" s="15">
        <f>Неделя!G164</f>
        <v>0</v>
      </c>
      <c r="H163" s="15">
        <f>Неделя!L164</f>
        <v>0</v>
      </c>
    </row>
    <row r="164" spans="1:8" hidden="1">
      <c r="A164" s="15">
        <f>Неделя!A165</f>
        <v>0</v>
      </c>
      <c r="B164" s="15">
        <f>Неделя!B165</f>
        <v>0</v>
      </c>
      <c r="C164" s="15">
        <f>Неделя!C165</f>
        <v>0</v>
      </c>
      <c r="D164" s="15">
        <f>Неделя!D165</f>
        <v>0</v>
      </c>
      <c r="E164" s="15">
        <f>Неделя!E165</f>
        <v>0</v>
      </c>
      <c r="F164" s="15">
        <f>Неделя!F165</f>
        <v>0</v>
      </c>
      <c r="G164" s="15">
        <f>Неделя!G165</f>
        <v>0</v>
      </c>
      <c r="H164" s="15">
        <f>Неделя!L165</f>
        <v>0</v>
      </c>
    </row>
    <row r="165" spans="1:8" hidden="1">
      <c r="A165" s="15">
        <f>Неделя!A166</f>
        <v>0</v>
      </c>
      <c r="B165" s="15">
        <f>Неделя!B166</f>
        <v>0</v>
      </c>
      <c r="C165" s="15">
        <f>Неделя!C166</f>
        <v>0</v>
      </c>
      <c r="D165" s="15">
        <f>Неделя!D166</f>
        <v>0</v>
      </c>
      <c r="E165" s="15">
        <f>Неделя!E166</f>
        <v>0</v>
      </c>
      <c r="F165" s="15">
        <f>Неделя!F166</f>
        <v>0</v>
      </c>
      <c r="G165" s="15">
        <f>Неделя!G166</f>
        <v>0</v>
      </c>
      <c r="H165" s="15">
        <f>Неделя!L166</f>
        <v>0</v>
      </c>
    </row>
    <row r="166" spans="1:8" hidden="1">
      <c r="A166" s="15">
        <f>Неделя!A167</f>
        <v>0</v>
      </c>
      <c r="B166" s="15">
        <f>Неделя!B167</f>
        <v>0</v>
      </c>
      <c r="C166" s="15">
        <f>Неделя!C167</f>
        <v>0</v>
      </c>
      <c r="D166" s="15">
        <f>Неделя!D167</f>
        <v>0</v>
      </c>
      <c r="E166" s="15">
        <f>Неделя!E167</f>
        <v>0</v>
      </c>
      <c r="F166" s="15">
        <f>Неделя!F167</f>
        <v>0</v>
      </c>
      <c r="G166" s="15">
        <f>Неделя!G167</f>
        <v>0</v>
      </c>
      <c r="H166" s="15">
        <f>Неделя!L167</f>
        <v>0</v>
      </c>
    </row>
    <row r="167" spans="1:8" hidden="1">
      <c r="A167" s="15">
        <f>Неделя!A168</f>
        <v>0</v>
      </c>
      <c r="B167" s="15">
        <f>Неделя!B168</f>
        <v>0</v>
      </c>
      <c r="C167" s="15">
        <f>Неделя!C168</f>
        <v>0</v>
      </c>
      <c r="D167" s="15">
        <f>Неделя!D168</f>
        <v>0</v>
      </c>
      <c r="E167" s="15">
        <f>Неделя!E168</f>
        <v>0</v>
      </c>
      <c r="F167" s="15">
        <f>Неделя!F168</f>
        <v>0</v>
      </c>
      <c r="G167" s="15">
        <f>Неделя!G168</f>
        <v>0</v>
      </c>
      <c r="H167" s="15">
        <f>Неделя!L168</f>
        <v>0</v>
      </c>
    </row>
    <row r="168" spans="1:8" hidden="1">
      <c r="A168" s="15">
        <f>Неделя!A169</f>
        <v>0</v>
      </c>
      <c r="B168" s="15">
        <f>Неделя!B169</f>
        <v>0</v>
      </c>
      <c r="C168" s="15">
        <f>Неделя!C169</f>
        <v>0</v>
      </c>
      <c r="D168" s="15">
        <f>Неделя!D169</f>
        <v>0</v>
      </c>
      <c r="E168" s="15">
        <f>Неделя!E169</f>
        <v>0</v>
      </c>
      <c r="F168" s="15">
        <f>Неделя!F169</f>
        <v>0</v>
      </c>
      <c r="G168" s="15">
        <f>Неделя!G169</f>
        <v>0</v>
      </c>
      <c r="H168" s="15">
        <f>Неделя!L169</f>
        <v>0</v>
      </c>
    </row>
    <row r="169" spans="1:8" hidden="1">
      <c r="A169" s="15">
        <f>Неделя!A170</f>
        <v>0</v>
      </c>
      <c r="B169" s="15">
        <f>Неделя!B170</f>
        <v>0</v>
      </c>
      <c r="C169" s="15">
        <f>Неделя!C170</f>
        <v>0</v>
      </c>
      <c r="D169" s="15">
        <f>Неделя!D170</f>
        <v>0</v>
      </c>
      <c r="E169" s="15">
        <f>Неделя!E170</f>
        <v>0</v>
      </c>
      <c r="F169" s="15">
        <f>Неделя!F170</f>
        <v>0</v>
      </c>
      <c r="G169" s="15">
        <f>Неделя!G170</f>
        <v>0</v>
      </c>
      <c r="H169" s="15">
        <f>Неделя!L170</f>
        <v>0</v>
      </c>
    </row>
    <row r="170" spans="1:8" hidden="1">
      <c r="A170" s="15">
        <f>Неделя!A171</f>
        <v>0</v>
      </c>
      <c r="B170" s="15">
        <f>Неделя!B171</f>
        <v>0</v>
      </c>
      <c r="C170" s="15">
        <f>Неделя!C171</f>
        <v>0</v>
      </c>
      <c r="D170" s="15">
        <f>Неделя!D171</f>
        <v>0</v>
      </c>
      <c r="E170" s="15">
        <f>Неделя!E171</f>
        <v>0</v>
      </c>
      <c r="F170" s="15">
        <f>Неделя!F171</f>
        <v>0</v>
      </c>
      <c r="G170" s="15">
        <f>Неделя!G171</f>
        <v>0</v>
      </c>
      <c r="H170" s="15">
        <f>Неделя!L171</f>
        <v>0</v>
      </c>
    </row>
    <row r="171" spans="1:8" hidden="1">
      <c r="A171" s="15">
        <f>Неделя!A172</f>
        <v>0</v>
      </c>
      <c r="B171" s="15">
        <f>Неделя!B172</f>
        <v>0</v>
      </c>
      <c r="C171" s="15">
        <f>Неделя!C172</f>
        <v>0</v>
      </c>
      <c r="D171" s="15">
        <f>Неделя!D172</f>
        <v>0</v>
      </c>
      <c r="E171" s="15">
        <f>Неделя!E172</f>
        <v>0</v>
      </c>
      <c r="F171" s="15">
        <f>Неделя!F172</f>
        <v>0</v>
      </c>
      <c r="G171" s="15">
        <f>Неделя!G172</f>
        <v>0</v>
      </c>
      <c r="H171" s="15">
        <f>Неделя!L172</f>
        <v>0</v>
      </c>
    </row>
    <row r="172" spans="1:8" hidden="1">
      <c r="A172" s="15">
        <f>Неделя!A173</f>
        <v>0</v>
      </c>
      <c r="B172" s="15">
        <f>Неделя!B173</f>
        <v>0</v>
      </c>
      <c r="C172" s="15">
        <f>Неделя!C173</f>
        <v>0</v>
      </c>
      <c r="D172" s="15">
        <f>Неделя!D173</f>
        <v>0</v>
      </c>
      <c r="E172" s="15">
        <f>Неделя!E173</f>
        <v>0</v>
      </c>
      <c r="F172" s="15">
        <f>Неделя!F173</f>
        <v>0</v>
      </c>
      <c r="G172" s="15">
        <f>Неделя!G173</f>
        <v>0</v>
      </c>
      <c r="H172" s="15">
        <f>Неделя!L173</f>
        <v>0</v>
      </c>
    </row>
    <row r="173" spans="1:8" hidden="1">
      <c r="A173" s="15">
        <f>Неделя!A174</f>
        <v>0</v>
      </c>
      <c r="B173" s="15">
        <f>Неделя!B174</f>
        <v>0</v>
      </c>
      <c r="C173" s="15">
        <f>Неделя!C174</f>
        <v>0</v>
      </c>
      <c r="D173" s="15">
        <f>Неделя!D174</f>
        <v>0</v>
      </c>
      <c r="E173" s="15">
        <f>Неделя!E174</f>
        <v>0</v>
      </c>
      <c r="F173" s="15">
        <f>Неделя!F174</f>
        <v>0</v>
      </c>
      <c r="G173" s="15">
        <f>Неделя!G174</f>
        <v>0</v>
      </c>
      <c r="H173" s="15">
        <f>Неделя!L174</f>
        <v>0</v>
      </c>
    </row>
    <row r="174" spans="1:8" hidden="1">
      <c r="A174" s="15">
        <f>Неделя!A175</f>
        <v>0</v>
      </c>
      <c r="B174" s="15">
        <f>Неделя!B175</f>
        <v>0</v>
      </c>
      <c r="C174" s="15">
        <f>Неделя!C175</f>
        <v>0</v>
      </c>
      <c r="D174" s="15">
        <f>Неделя!D175</f>
        <v>0</v>
      </c>
      <c r="E174" s="15">
        <f>Неделя!E175</f>
        <v>0</v>
      </c>
      <c r="F174" s="15">
        <f>Неделя!F175</f>
        <v>0</v>
      </c>
      <c r="G174" s="15">
        <f>Неделя!G175</f>
        <v>0</v>
      </c>
      <c r="H174" s="15">
        <f>Неделя!L175</f>
        <v>0</v>
      </c>
    </row>
    <row r="175" spans="1:8" hidden="1">
      <c r="A175" s="15">
        <f>Неделя!A176</f>
        <v>0</v>
      </c>
      <c r="B175" s="15">
        <f>Неделя!B176</f>
        <v>0</v>
      </c>
      <c r="C175" s="15">
        <f>Неделя!C176</f>
        <v>0</v>
      </c>
      <c r="D175" s="15">
        <f>Неделя!D176</f>
        <v>0</v>
      </c>
      <c r="E175" s="15">
        <f>Неделя!E176</f>
        <v>0</v>
      </c>
      <c r="F175" s="15">
        <f>Неделя!F176</f>
        <v>0</v>
      </c>
      <c r="G175" s="15">
        <f>Неделя!G176</f>
        <v>0</v>
      </c>
      <c r="H175" s="15">
        <f>Неделя!L176</f>
        <v>0</v>
      </c>
    </row>
    <row r="176" spans="1:8" hidden="1">
      <c r="A176" s="15">
        <f>Неделя!A177</f>
        <v>0</v>
      </c>
      <c r="B176" s="15">
        <f>Неделя!B177</f>
        <v>0</v>
      </c>
      <c r="C176" s="15">
        <f>Неделя!C177</f>
        <v>0</v>
      </c>
      <c r="D176" s="15">
        <f>Неделя!D177</f>
        <v>0</v>
      </c>
      <c r="E176" s="15">
        <f>Неделя!E177</f>
        <v>0</v>
      </c>
      <c r="F176" s="15">
        <f>Неделя!F177</f>
        <v>0</v>
      </c>
      <c r="G176" s="15">
        <f>Неделя!G177</f>
        <v>0</v>
      </c>
      <c r="H176" s="15">
        <f>Неделя!L177</f>
        <v>0</v>
      </c>
    </row>
    <row r="177" spans="1:8" hidden="1">
      <c r="A177" s="15">
        <f>Неделя!A178</f>
        <v>0</v>
      </c>
      <c r="B177" s="15">
        <f>Неделя!B178</f>
        <v>0</v>
      </c>
      <c r="C177" s="15">
        <f>Неделя!C178</f>
        <v>0</v>
      </c>
      <c r="D177" s="15">
        <f>Неделя!D178</f>
        <v>0</v>
      </c>
      <c r="E177" s="15">
        <f>Неделя!E178</f>
        <v>0</v>
      </c>
      <c r="F177" s="15">
        <f>Неделя!F178</f>
        <v>0</v>
      </c>
      <c r="G177" s="15">
        <f>Неделя!G178</f>
        <v>0</v>
      </c>
      <c r="H177" s="15">
        <f>Неделя!L178</f>
        <v>0</v>
      </c>
    </row>
    <row r="178" spans="1:8" hidden="1">
      <c r="A178" s="15">
        <f>Неделя!A179</f>
        <v>0</v>
      </c>
      <c r="B178" s="15">
        <f>Неделя!B179</f>
        <v>0</v>
      </c>
      <c r="C178" s="15">
        <f>Неделя!C179</f>
        <v>0</v>
      </c>
      <c r="D178" s="15">
        <f>Неделя!D179</f>
        <v>0</v>
      </c>
      <c r="E178" s="15">
        <f>Неделя!E179</f>
        <v>0</v>
      </c>
      <c r="F178" s="15">
        <f>Неделя!F179</f>
        <v>0</v>
      </c>
      <c r="G178" s="15">
        <f>Неделя!G179</f>
        <v>0</v>
      </c>
      <c r="H178" s="15">
        <f>Неделя!L179</f>
        <v>0</v>
      </c>
    </row>
    <row r="179" spans="1:8" hidden="1">
      <c r="A179" s="15">
        <f>Неделя!A180</f>
        <v>0</v>
      </c>
      <c r="B179" s="15">
        <f>Неделя!B180</f>
        <v>0</v>
      </c>
      <c r="C179" s="15">
        <f>Неделя!C180</f>
        <v>0</v>
      </c>
      <c r="D179" s="15">
        <f>Неделя!D180</f>
        <v>0</v>
      </c>
      <c r="E179" s="15">
        <f>Неделя!E180</f>
        <v>0</v>
      </c>
      <c r="F179" s="15">
        <f>Неделя!F180</f>
        <v>0</v>
      </c>
      <c r="G179" s="15">
        <f>Неделя!G180</f>
        <v>0</v>
      </c>
      <c r="H179" s="15">
        <f>Неделя!L180</f>
        <v>0</v>
      </c>
    </row>
    <row r="180" spans="1:8" hidden="1">
      <c r="A180" s="15">
        <f>Неделя!A181</f>
        <v>0</v>
      </c>
      <c r="B180" s="15">
        <f>Неделя!B181</f>
        <v>0</v>
      </c>
      <c r="C180" s="15">
        <f>Неделя!C181</f>
        <v>0</v>
      </c>
      <c r="D180" s="15">
        <f>Неделя!D181</f>
        <v>0</v>
      </c>
      <c r="E180" s="15">
        <f>Неделя!E181</f>
        <v>0</v>
      </c>
      <c r="F180" s="15">
        <f>Неделя!F181</f>
        <v>0</v>
      </c>
      <c r="G180" s="15">
        <f>Неделя!G181</f>
        <v>0</v>
      </c>
      <c r="H180" s="15">
        <f>Неделя!L181</f>
        <v>0</v>
      </c>
    </row>
    <row r="181" spans="1:8" hidden="1">
      <c r="A181" s="15">
        <f>Неделя!A182</f>
        <v>0</v>
      </c>
      <c r="B181" s="15">
        <f>Неделя!B182</f>
        <v>0</v>
      </c>
      <c r="C181" s="15">
        <f>Неделя!C182</f>
        <v>0</v>
      </c>
      <c r="D181" s="15">
        <f>Неделя!D182</f>
        <v>0</v>
      </c>
      <c r="E181" s="15">
        <f>Неделя!E182</f>
        <v>0</v>
      </c>
      <c r="F181" s="15">
        <f>Неделя!F182</f>
        <v>0</v>
      </c>
      <c r="G181" s="15">
        <f>Неделя!G182</f>
        <v>0</v>
      </c>
      <c r="H181" s="15">
        <f>Неделя!L182</f>
        <v>0</v>
      </c>
    </row>
    <row r="182" spans="1:8" hidden="1">
      <c r="A182" s="15">
        <f>Неделя!A183</f>
        <v>0</v>
      </c>
      <c r="B182" s="15">
        <f>Неделя!B183</f>
        <v>0</v>
      </c>
      <c r="C182" s="15">
        <f>Неделя!C183</f>
        <v>0</v>
      </c>
      <c r="D182" s="15">
        <f>Неделя!D183</f>
        <v>0</v>
      </c>
      <c r="E182" s="15">
        <f>Неделя!E183</f>
        <v>0</v>
      </c>
      <c r="F182" s="15">
        <f>Неделя!F183</f>
        <v>0</v>
      </c>
      <c r="G182" s="15">
        <f>Неделя!G183</f>
        <v>0</v>
      </c>
      <c r="H182" s="15">
        <f>Неделя!L183</f>
        <v>0</v>
      </c>
    </row>
    <row r="183" spans="1:8" hidden="1">
      <c r="A183" s="15">
        <f>Неделя!A184</f>
        <v>0</v>
      </c>
      <c r="B183" s="15">
        <f>Неделя!B184</f>
        <v>0</v>
      </c>
      <c r="C183" s="15">
        <f>Неделя!C184</f>
        <v>0</v>
      </c>
      <c r="D183" s="15">
        <f>Неделя!D184</f>
        <v>0</v>
      </c>
      <c r="E183" s="15">
        <f>Неделя!E184</f>
        <v>0</v>
      </c>
      <c r="F183" s="15">
        <f>Неделя!F184</f>
        <v>0</v>
      </c>
      <c r="G183" s="15">
        <f>Неделя!G184</f>
        <v>0</v>
      </c>
      <c r="H183" s="15">
        <f>Неделя!L184</f>
        <v>0</v>
      </c>
    </row>
    <row r="184" spans="1:8" hidden="1">
      <c r="A184" s="15">
        <f>Неделя!A185</f>
        <v>0</v>
      </c>
      <c r="B184" s="15">
        <f>Неделя!B185</f>
        <v>0</v>
      </c>
      <c r="C184" s="15">
        <f>Неделя!C185</f>
        <v>0</v>
      </c>
      <c r="D184" s="15">
        <f>Неделя!D185</f>
        <v>0</v>
      </c>
      <c r="E184" s="15">
        <f>Неделя!E185</f>
        <v>0</v>
      </c>
      <c r="F184" s="15">
        <f>Неделя!F185</f>
        <v>0</v>
      </c>
      <c r="G184" s="15">
        <f>Неделя!G185</f>
        <v>0</v>
      </c>
      <c r="H184" s="15">
        <f>Неделя!L185</f>
        <v>0</v>
      </c>
    </row>
    <row r="185" spans="1:8" hidden="1">
      <c r="A185" s="15">
        <f>Неделя!A186</f>
        <v>0</v>
      </c>
      <c r="B185" s="15">
        <f>Неделя!B186</f>
        <v>0</v>
      </c>
      <c r="C185" s="15">
        <f>Неделя!C186</f>
        <v>0</v>
      </c>
      <c r="D185" s="15">
        <f>Неделя!D186</f>
        <v>0</v>
      </c>
      <c r="E185" s="15">
        <f>Неделя!E186</f>
        <v>0</v>
      </c>
      <c r="F185" s="15">
        <f>Неделя!F186</f>
        <v>0</v>
      </c>
      <c r="G185" s="15">
        <f>Неделя!G186</f>
        <v>0</v>
      </c>
      <c r="H185" s="15">
        <f>Неделя!L186</f>
        <v>0</v>
      </c>
    </row>
    <row r="186" spans="1:8" hidden="1">
      <c r="A186" s="15">
        <f>Неделя!A187</f>
        <v>0</v>
      </c>
      <c r="B186" s="15">
        <f>Неделя!B187</f>
        <v>0</v>
      </c>
      <c r="C186" s="15">
        <f>Неделя!C187</f>
        <v>0</v>
      </c>
      <c r="D186" s="15">
        <f>Неделя!D187</f>
        <v>0</v>
      </c>
      <c r="E186" s="15">
        <f>Неделя!E187</f>
        <v>0</v>
      </c>
      <c r="F186" s="15">
        <f>Неделя!F187</f>
        <v>0</v>
      </c>
      <c r="G186" s="15">
        <f>Неделя!G187</f>
        <v>0</v>
      </c>
      <c r="H186" s="15">
        <f>Неделя!L187</f>
        <v>0</v>
      </c>
    </row>
    <row r="187" spans="1:8" hidden="1">
      <c r="A187" s="15">
        <f>Неделя!A188</f>
        <v>0</v>
      </c>
      <c r="B187" s="15">
        <f>Неделя!B188</f>
        <v>0</v>
      </c>
      <c r="C187" s="15">
        <f>Неделя!C188</f>
        <v>0</v>
      </c>
      <c r="D187" s="15">
        <f>Неделя!D188</f>
        <v>0</v>
      </c>
      <c r="E187" s="15">
        <f>Неделя!E188</f>
        <v>0</v>
      </c>
      <c r="F187" s="15">
        <f>Неделя!F188</f>
        <v>0</v>
      </c>
      <c r="G187" s="15">
        <f>Неделя!G188</f>
        <v>0</v>
      </c>
      <c r="H187" s="15">
        <f>Неделя!L188</f>
        <v>0</v>
      </c>
    </row>
    <row r="188" spans="1:8" hidden="1">
      <c r="A188" s="15">
        <f>Неделя!A189</f>
        <v>0</v>
      </c>
      <c r="B188" s="15">
        <f>Неделя!B189</f>
        <v>0</v>
      </c>
      <c r="C188" s="15">
        <f>Неделя!C189</f>
        <v>0</v>
      </c>
      <c r="D188" s="15">
        <f>Неделя!D189</f>
        <v>0</v>
      </c>
      <c r="E188" s="15">
        <f>Неделя!E189</f>
        <v>0</v>
      </c>
      <c r="F188" s="15">
        <f>Неделя!F189</f>
        <v>0</v>
      </c>
      <c r="G188" s="15">
        <f>Неделя!G189</f>
        <v>0</v>
      </c>
      <c r="H188" s="15">
        <f>Неделя!L189</f>
        <v>0</v>
      </c>
    </row>
    <row r="189" spans="1:8" hidden="1">
      <c r="A189" s="15">
        <f>Неделя!A190</f>
        <v>0</v>
      </c>
      <c r="B189" s="15">
        <f>Неделя!B190</f>
        <v>0</v>
      </c>
      <c r="C189" s="15">
        <f>Неделя!C190</f>
        <v>0</v>
      </c>
      <c r="D189" s="15">
        <f>Неделя!D190</f>
        <v>0</v>
      </c>
      <c r="E189" s="15">
        <f>Неделя!E190</f>
        <v>0</v>
      </c>
      <c r="F189" s="15">
        <f>Неделя!F190</f>
        <v>0</v>
      </c>
      <c r="G189" s="15">
        <f>Неделя!G190</f>
        <v>0</v>
      </c>
      <c r="H189" s="15">
        <f>Неделя!L190</f>
        <v>0</v>
      </c>
    </row>
    <row r="190" spans="1:8" hidden="1">
      <c r="A190" s="15">
        <f>Неделя!A191</f>
        <v>0</v>
      </c>
      <c r="B190" s="15">
        <f>Неделя!B191</f>
        <v>0</v>
      </c>
      <c r="C190" s="15">
        <f>Неделя!C191</f>
        <v>0</v>
      </c>
      <c r="D190" s="15">
        <f>Неделя!D191</f>
        <v>0</v>
      </c>
      <c r="E190" s="15">
        <f>Неделя!E191</f>
        <v>0</v>
      </c>
      <c r="F190" s="15">
        <f>Неделя!F191</f>
        <v>0</v>
      </c>
      <c r="G190" s="15">
        <f>Неделя!G191</f>
        <v>0</v>
      </c>
      <c r="H190" s="15">
        <f>Неделя!L191</f>
        <v>0</v>
      </c>
    </row>
    <row r="191" spans="1:8" hidden="1">
      <c r="A191" s="15">
        <f>Неделя!A192</f>
        <v>0</v>
      </c>
      <c r="B191" s="15">
        <f>Неделя!B192</f>
        <v>0</v>
      </c>
      <c r="C191" s="15">
        <f>Неделя!C192</f>
        <v>0</v>
      </c>
      <c r="D191" s="15">
        <f>Неделя!D192</f>
        <v>0</v>
      </c>
      <c r="E191" s="15">
        <f>Неделя!E192</f>
        <v>0</v>
      </c>
      <c r="F191" s="15">
        <f>Неделя!F192</f>
        <v>0</v>
      </c>
      <c r="G191" s="15">
        <f>Неделя!G192</f>
        <v>0</v>
      </c>
      <c r="H191" s="15">
        <f>Неделя!L192</f>
        <v>0</v>
      </c>
    </row>
    <row r="192" spans="1:8" hidden="1">
      <c r="A192" s="15">
        <f>Неделя!A193</f>
        <v>0</v>
      </c>
      <c r="B192" s="15">
        <f>Неделя!B193</f>
        <v>0</v>
      </c>
      <c r="C192" s="15">
        <f>Неделя!C193</f>
        <v>0</v>
      </c>
      <c r="D192" s="15">
        <f>Неделя!D193</f>
        <v>0</v>
      </c>
      <c r="E192" s="15">
        <f>Неделя!E193</f>
        <v>0</v>
      </c>
      <c r="F192" s="15">
        <f>Неделя!F193</f>
        <v>0</v>
      </c>
      <c r="G192" s="15">
        <f>Неделя!G193</f>
        <v>0</v>
      </c>
      <c r="H192" s="15">
        <f>Неделя!L193</f>
        <v>0</v>
      </c>
    </row>
    <row r="193" spans="1:8" hidden="1">
      <c r="A193" s="15">
        <f>Неделя!A194</f>
        <v>0</v>
      </c>
      <c r="B193" s="15">
        <f>Неделя!B194</f>
        <v>0</v>
      </c>
      <c r="C193" s="15">
        <f>Неделя!C194</f>
        <v>0</v>
      </c>
      <c r="D193" s="15">
        <f>Неделя!D194</f>
        <v>0</v>
      </c>
      <c r="E193" s="15">
        <f>Неделя!E194</f>
        <v>0</v>
      </c>
      <c r="F193" s="15">
        <f>Неделя!F194</f>
        <v>0</v>
      </c>
      <c r="G193" s="15">
        <f>Неделя!G194</f>
        <v>0</v>
      </c>
      <c r="H193" s="15">
        <f>Неделя!L194</f>
        <v>0</v>
      </c>
    </row>
    <row r="194" spans="1:8" hidden="1">
      <c r="A194" s="15">
        <f>Неделя!A195</f>
        <v>0</v>
      </c>
      <c r="B194" s="15">
        <f>Неделя!B195</f>
        <v>0</v>
      </c>
      <c r="C194" s="15">
        <f>Неделя!C195</f>
        <v>0</v>
      </c>
      <c r="D194" s="15">
        <f>Неделя!D195</f>
        <v>0</v>
      </c>
      <c r="E194" s="15">
        <f>Неделя!E195</f>
        <v>0</v>
      </c>
      <c r="F194" s="15">
        <f>Неделя!F195</f>
        <v>0</v>
      </c>
      <c r="G194" s="15">
        <f>Неделя!G195</f>
        <v>0</v>
      </c>
      <c r="H194" s="15">
        <f>Неделя!L195</f>
        <v>0</v>
      </c>
    </row>
    <row r="195" spans="1:8" hidden="1">
      <c r="A195" s="15">
        <f>Неделя!A196</f>
        <v>0</v>
      </c>
      <c r="B195" s="15">
        <f>Неделя!B196</f>
        <v>0</v>
      </c>
      <c r="C195" s="15">
        <f>Неделя!C196</f>
        <v>0</v>
      </c>
      <c r="D195" s="15">
        <f>Неделя!D196</f>
        <v>0</v>
      </c>
      <c r="E195" s="15">
        <f>Неделя!E196</f>
        <v>0</v>
      </c>
      <c r="F195" s="15">
        <f>Неделя!F196</f>
        <v>0</v>
      </c>
      <c r="G195" s="15">
        <f>Неделя!G196</f>
        <v>0</v>
      </c>
      <c r="H195" s="15">
        <f>Неделя!L196</f>
        <v>0</v>
      </c>
    </row>
    <row r="196" spans="1:8" hidden="1">
      <c r="A196" s="15">
        <f>Неделя!A197</f>
        <v>0</v>
      </c>
      <c r="B196" s="15">
        <f>Неделя!B197</f>
        <v>0</v>
      </c>
      <c r="C196" s="15">
        <f>Неделя!C197</f>
        <v>0</v>
      </c>
      <c r="D196" s="15">
        <f>Неделя!D197</f>
        <v>0</v>
      </c>
      <c r="E196" s="15">
        <f>Неделя!E197</f>
        <v>0</v>
      </c>
      <c r="F196" s="15">
        <f>Неделя!F197</f>
        <v>0</v>
      </c>
      <c r="G196" s="15">
        <f>Неделя!G197</f>
        <v>0</v>
      </c>
      <c r="H196" s="15">
        <f>Неделя!L197</f>
        <v>0</v>
      </c>
    </row>
    <row r="197" spans="1:8" hidden="1">
      <c r="A197" s="15">
        <f>Неделя!A198</f>
        <v>0</v>
      </c>
      <c r="B197" s="15">
        <f>Неделя!B198</f>
        <v>0</v>
      </c>
      <c r="C197" s="15">
        <f>Неделя!C198</f>
        <v>0</v>
      </c>
      <c r="D197" s="15">
        <f>Неделя!D198</f>
        <v>0</v>
      </c>
      <c r="E197" s="15">
        <f>Неделя!E198</f>
        <v>0</v>
      </c>
      <c r="F197" s="15">
        <f>Неделя!F198</f>
        <v>0</v>
      </c>
      <c r="G197" s="15">
        <f>Неделя!G198</f>
        <v>0</v>
      </c>
      <c r="H197" s="15">
        <f>Неделя!L198</f>
        <v>0</v>
      </c>
    </row>
    <row r="198" spans="1:8" hidden="1">
      <c r="A198" s="15">
        <f>Неделя!A199</f>
        <v>0</v>
      </c>
      <c r="B198" s="15">
        <f>Неделя!B199</f>
        <v>0</v>
      </c>
      <c r="C198" s="15">
        <f>Неделя!C199</f>
        <v>0</v>
      </c>
      <c r="D198" s="15">
        <f>Неделя!D199</f>
        <v>0</v>
      </c>
      <c r="E198" s="15">
        <f>Неделя!E199</f>
        <v>0</v>
      </c>
      <c r="F198" s="15">
        <f>Неделя!F199</f>
        <v>0</v>
      </c>
      <c r="G198" s="15">
        <f>Неделя!G199</f>
        <v>0</v>
      </c>
      <c r="H198" s="15">
        <f>Неделя!L199</f>
        <v>0</v>
      </c>
    </row>
    <row r="199" spans="1:8" hidden="1">
      <c r="A199" s="15">
        <f>Неделя!A200</f>
        <v>0</v>
      </c>
      <c r="B199" s="15">
        <f>Неделя!B200</f>
        <v>0</v>
      </c>
      <c r="C199" s="15">
        <f>Неделя!C200</f>
        <v>0</v>
      </c>
      <c r="D199" s="15">
        <f>Неделя!D200</f>
        <v>0</v>
      </c>
      <c r="E199" s="15">
        <f>Неделя!E200</f>
        <v>0</v>
      </c>
      <c r="F199" s="15">
        <f>Неделя!F200</f>
        <v>0</v>
      </c>
      <c r="G199" s="15">
        <f>Неделя!G200</f>
        <v>0</v>
      </c>
      <c r="H199" s="15">
        <f>Неделя!L200</f>
        <v>0</v>
      </c>
    </row>
    <row r="200" spans="1:8" hidden="1">
      <c r="A200" s="15">
        <f>Неделя!A201</f>
        <v>0</v>
      </c>
      <c r="B200" s="15">
        <f>Неделя!B201</f>
        <v>0</v>
      </c>
      <c r="C200" s="15">
        <f>Неделя!C201</f>
        <v>0</v>
      </c>
      <c r="D200" s="15">
        <f>Неделя!D201</f>
        <v>0</v>
      </c>
      <c r="E200" s="15">
        <f>Неделя!E201</f>
        <v>0</v>
      </c>
      <c r="F200" s="15">
        <f>Неделя!F201</f>
        <v>0</v>
      </c>
      <c r="G200" s="15">
        <f>Неделя!G201</f>
        <v>0</v>
      </c>
      <c r="H200" s="15">
        <f>Неделя!L201</f>
        <v>0</v>
      </c>
    </row>
    <row r="201" spans="1:8" hidden="1">
      <c r="A201" s="15">
        <f>Неделя!A202</f>
        <v>0</v>
      </c>
      <c r="B201" s="15">
        <f>Неделя!B202</f>
        <v>0</v>
      </c>
      <c r="C201" s="15">
        <f>Неделя!C202</f>
        <v>0</v>
      </c>
      <c r="D201" s="15">
        <f>Неделя!D202</f>
        <v>0</v>
      </c>
      <c r="E201" s="15">
        <f>Неделя!E202</f>
        <v>0</v>
      </c>
      <c r="F201" s="15">
        <f>Неделя!F202</f>
        <v>0</v>
      </c>
      <c r="G201" s="15">
        <f>Неделя!G202</f>
        <v>0</v>
      </c>
      <c r="H201" s="15">
        <f>Неделя!L202</f>
        <v>0</v>
      </c>
    </row>
    <row r="202" spans="1:8" hidden="1">
      <c r="A202" s="15">
        <f>Неделя!A203</f>
        <v>0</v>
      </c>
      <c r="B202" s="15">
        <f>Неделя!B203</f>
        <v>0</v>
      </c>
      <c r="C202" s="15">
        <f>Неделя!C203</f>
        <v>0</v>
      </c>
      <c r="D202" s="15">
        <f>Неделя!D203</f>
        <v>0</v>
      </c>
      <c r="E202" s="15">
        <f>Неделя!E203</f>
        <v>0</v>
      </c>
      <c r="F202" s="15">
        <f>Неделя!F203</f>
        <v>0</v>
      </c>
      <c r="G202" s="15">
        <f>Неделя!G203</f>
        <v>0</v>
      </c>
      <c r="H202" s="15">
        <f>Неделя!L203</f>
        <v>0</v>
      </c>
    </row>
    <row r="203" spans="1:8" hidden="1">
      <c r="A203" s="15">
        <f>Неделя!A204</f>
        <v>0</v>
      </c>
      <c r="B203" s="15">
        <f>Неделя!B204</f>
        <v>0</v>
      </c>
      <c r="C203" s="15">
        <f>Неделя!C204</f>
        <v>0</v>
      </c>
      <c r="D203" s="15">
        <f>Неделя!D204</f>
        <v>0</v>
      </c>
      <c r="E203" s="15">
        <f>Неделя!E204</f>
        <v>0</v>
      </c>
      <c r="F203" s="15">
        <f>Неделя!F204</f>
        <v>0</v>
      </c>
      <c r="G203" s="15">
        <f>Неделя!G204</f>
        <v>0</v>
      </c>
      <c r="H203" s="15">
        <f>Неделя!L204</f>
        <v>0</v>
      </c>
    </row>
    <row r="204" spans="1:8" hidden="1">
      <c r="A204" s="15">
        <f>Неделя!A205</f>
        <v>0</v>
      </c>
      <c r="B204" s="15">
        <f>Неделя!B205</f>
        <v>0</v>
      </c>
      <c r="C204" s="15">
        <f>Неделя!C205</f>
        <v>0</v>
      </c>
      <c r="D204" s="15">
        <f>Неделя!D205</f>
        <v>0</v>
      </c>
      <c r="E204" s="15">
        <f>Неделя!E205</f>
        <v>0</v>
      </c>
      <c r="F204" s="15">
        <f>Неделя!F205</f>
        <v>0</v>
      </c>
      <c r="G204" s="15">
        <f>Неделя!G205</f>
        <v>0</v>
      </c>
      <c r="H204" s="15">
        <f>Неделя!L205</f>
        <v>0</v>
      </c>
    </row>
    <row r="205" spans="1:8" hidden="1">
      <c r="A205" s="15">
        <f>Неделя!A206</f>
        <v>0</v>
      </c>
      <c r="B205" s="15">
        <f>Неделя!B206</f>
        <v>0</v>
      </c>
      <c r="C205" s="15">
        <f>Неделя!C206</f>
        <v>0</v>
      </c>
      <c r="D205" s="15">
        <f>Неделя!D206</f>
        <v>0</v>
      </c>
      <c r="E205" s="15">
        <f>Неделя!E206</f>
        <v>0</v>
      </c>
      <c r="F205" s="15">
        <f>Неделя!F206</f>
        <v>0</v>
      </c>
      <c r="G205" s="15">
        <f>Неделя!G206</f>
        <v>0</v>
      </c>
      <c r="H205" s="15">
        <f>Неделя!L206</f>
        <v>0</v>
      </c>
    </row>
    <row r="206" spans="1:8" hidden="1">
      <c r="A206" s="15">
        <f>Неделя!A207</f>
        <v>0</v>
      </c>
      <c r="B206" s="15">
        <f>Неделя!B207</f>
        <v>0</v>
      </c>
      <c r="C206" s="15">
        <f>Неделя!C207</f>
        <v>0</v>
      </c>
      <c r="D206" s="15">
        <f>Неделя!D207</f>
        <v>0</v>
      </c>
      <c r="E206" s="15">
        <f>Неделя!E207</f>
        <v>0</v>
      </c>
      <c r="F206" s="15">
        <f>Неделя!F207</f>
        <v>0</v>
      </c>
      <c r="G206" s="15">
        <f>Неделя!G207</f>
        <v>0</v>
      </c>
      <c r="H206" s="15">
        <f>Неделя!L207</f>
        <v>0</v>
      </c>
    </row>
    <row r="207" spans="1:8" hidden="1">
      <c r="A207" s="15">
        <f>Неделя!A208</f>
        <v>0</v>
      </c>
      <c r="B207" s="15">
        <f>Неделя!B208</f>
        <v>0</v>
      </c>
      <c r="C207" s="15">
        <f>Неделя!C208</f>
        <v>0</v>
      </c>
      <c r="D207" s="15">
        <f>Неделя!D208</f>
        <v>0</v>
      </c>
      <c r="E207" s="15">
        <f>Неделя!E208</f>
        <v>0</v>
      </c>
      <c r="F207" s="15">
        <f>Неделя!F208</f>
        <v>0</v>
      </c>
      <c r="G207" s="15">
        <f>Неделя!G208</f>
        <v>0</v>
      </c>
      <c r="H207" s="15">
        <f>Неделя!L208</f>
        <v>0</v>
      </c>
    </row>
    <row r="208" spans="1:8" hidden="1">
      <c r="A208" s="15">
        <f>Неделя!A209</f>
        <v>0</v>
      </c>
      <c r="B208" s="15">
        <f>Неделя!B209</f>
        <v>0</v>
      </c>
      <c r="C208" s="15">
        <f>Неделя!C209</f>
        <v>0</v>
      </c>
      <c r="D208" s="15">
        <f>Неделя!D209</f>
        <v>0</v>
      </c>
      <c r="E208" s="15">
        <f>Неделя!E209</f>
        <v>0</v>
      </c>
      <c r="F208" s="15">
        <f>Неделя!F209</f>
        <v>0</v>
      </c>
      <c r="G208" s="15">
        <f>Неделя!G209</f>
        <v>0</v>
      </c>
      <c r="H208" s="15">
        <f>Неделя!L209</f>
        <v>0</v>
      </c>
    </row>
    <row r="209" spans="1:8" hidden="1">
      <c r="A209" s="15">
        <f>Неделя!A210</f>
        <v>0</v>
      </c>
      <c r="B209" s="15">
        <f>Неделя!B210</f>
        <v>0</v>
      </c>
      <c r="C209" s="15">
        <f>Неделя!C210</f>
        <v>0</v>
      </c>
      <c r="D209" s="15">
        <f>Неделя!D210</f>
        <v>0</v>
      </c>
      <c r="E209" s="15">
        <f>Неделя!E210</f>
        <v>0</v>
      </c>
      <c r="F209" s="15">
        <f>Неделя!F210</f>
        <v>0</v>
      </c>
      <c r="G209" s="15">
        <f>Неделя!G210</f>
        <v>0</v>
      </c>
      <c r="H209" s="15">
        <f>Неделя!L210</f>
        <v>0</v>
      </c>
    </row>
    <row r="210" spans="1:8" hidden="1">
      <c r="A210" s="15">
        <f>Неделя!A211</f>
        <v>0</v>
      </c>
      <c r="B210" s="15">
        <f>Неделя!B211</f>
        <v>0</v>
      </c>
      <c r="C210" s="15">
        <f>Неделя!C211</f>
        <v>0</v>
      </c>
      <c r="D210" s="15">
        <f>Неделя!D211</f>
        <v>0</v>
      </c>
      <c r="E210" s="15">
        <f>Неделя!E211</f>
        <v>0</v>
      </c>
      <c r="F210" s="15">
        <f>Неделя!F211</f>
        <v>0</v>
      </c>
      <c r="G210" s="15">
        <f>Неделя!G211</f>
        <v>0</v>
      </c>
      <c r="H210" s="15">
        <f>Неделя!L211</f>
        <v>0</v>
      </c>
    </row>
    <row r="211" spans="1:8" hidden="1">
      <c r="A211" s="15">
        <f>Неделя!A212</f>
        <v>0</v>
      </c>
      <c r="B211" s="15">
        <f>Неделя!B212</f>
        <v>0</v>
      </c>
      <c r="C211" s="15">
        <f>Неделя!C212</f>
        <v>0</v>
      </c>
      <c r="D211" s="15">
        <f>Неделя!D212</f>
        <v>0</v>
      </c>
      <c r="E211" s="15">
        <f>Неделя!E212</f>
        <v>0</v>
      </c>
      <c r="F211" s="15">
        <f>Неделя!F212</f>
        <v>0</v>
      </c>
      <c r="G211" s="15">
        <f>Неделя!G212</f>
        <v>0</v>
      </c>
      <c r="H211" s="15">
        <f>Неделя!L212</f>
        <v>0</v>
      </c>
    </row>
    <row r="212" spans="1:8" hidden="1">
      <c r="A212" s="15">
        <f>Неделя!A213</f>
        <v>0</v>
      </c>
      <c r="B212" s="15">
        <f>Неделя!B213</f>
        <v>0</v>
      </c>
      <c r="C212" s="15">
        <f>Неделя!C213</f>
        <v>0</v>
      </c>
      <c r="D212" s="15">
        <f>Неделя!D213</f>
        <v>0</v>
      </c>
      <c r="E212" s="15">
        <f>Неделя!E213</f>
        <v>0</v>
      </c>
      <c r="F212" s="15">
        <f>Неделя!F213</f>
        <v>0</v>
      </c>
      <c r="G212" s="15">
        <f>Неделя!G213</f>
        <v>0</v>
      </c>
      <c r="H212" s="15">
        <f>Неделя!L213</f>
        <v>0</v>
      </c>
    </row>
    <row r="213" spans="1:8" hidden="1">
      <c r="A213" s="15">
        <f>Неделя!A214</f>
        <v>0</v>
      </c>
      <c r="B213" s="15">
        <f>Неделя!B214</f>
        <v>0</v>
      </c>
      <c r="C213" s="15">
        <f>Неделя!C214</f>
        <v>0</v>
      </c>
      <c r="D213" s="15">
        <f>Неделя!D214</f>
        <v>0</v>
      </c>
      <c r="E213" s="15">
        <f>Неделя!E214</f>
        <v>0</v>
      </c>
      <c r="F213" s="15">
        <f>Неделя!F214</f>
        <v>0</v>
      </c>
      <c r="G213" s="15">
        <f>Неделя!G214</f>
        <v>0</v>
      </c>
      <c r="H213" s="15">
        <f>Неделя!L214</f>
        <v>0</v>
      </c>
    </row>
    <row r="65187" ht="18.2" customHeight="1"/>
    <row r="65314" ht="18.2" customHeight="1"/>
  </sheetData>
  <sheetProtection selectLockedCells="1" selectUnlockedCells="1"/>
  <autoFilter ref="A1:H213">
    <filterColumn colId="7">
      <filters>
        <filter val="1"/>
        <filter val="чт"/>
      </filters>
    </filterColumn>
  </autoFilter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65022"/>
  <sheetViews>
    <sheetView topLeftCell="A52" zoomScale="124" zoomScaleNormal="124" workbookViewId="0">
      <selection activeCell="L60" sqref="L60"/>
    </sheetView>
  </sheetViews>
  <sheetFormatPr defaultColWidth="9" defaultRowHeight="15"/>
  <cols>
    <col min="1" max="1" width="49.42578125" style="14" customWidth="1"/>
    <col min="2" max="2" width="9" style="14"/>
    <col min="3" max="4" width="4" style="14" customWidth="1"/>
    <col min="5" max="5" width="6" style="14" customWidth="1"/>
    <col min="6" max="7" width="4.140625" style="14" bestFit="1" customWidth="1"/>
    <col min="8" max="8" width="3" style="14" bestFit="1" customWidth="1"/>
    <col min="9" max="16384" width="9" style="14"/>
  </cols>
  <sheetData>
    <row r="1" spans="1:8">
      <c r="A1" s="15" t="str">
        <f>Неделя!A1</f>
        <v>Велес гоголя 180</v>
      </c>
      <c r="B1" s="15">
        <f>Неделя!B1</f>
        <v>2.0699999999999998</v>
      </c>
      <c r="C1" s="15">
        <f>Неделя!C1</f>
        <v>1</v>
      </c>
      <c r="D1" s="15">
        <f>Неделя!D1</f>
        <v>0</v>
      </c>
      <c r="E1" s="15">
        <f>Неделя!E1</f>
        <v>0</v>
      </c>
      <c r="F1" s="15">
        <f>Неделя!F1</f>
        <v>0</v>
      </c>
      <c r="G1" s="15">
        <f>Неделя!G1</f>
        <v>0</v>
      </c>
      <c r="H1" s="15">
        <f>Неделя!M1</f>
        <v>1</v>
      </c>
    </row>
    <row r="2" spans="1:8">
      <c r="A2" s="15" t="str">
        <f>Неделя!A2</f>
        <v>Велес красина 180</v>
      </c>
      <c r="B2" s="15">
        <f>Неделя!B2</f>
        <v>2.0699999999999998</v>
      </c>
      <c r="C2" s="15">
        <f>Неделя!C2</f>
        <v>1</v>
      </c>
      <c r="D2" s="15">
        <f>Неделя!D2</f>
        <v>0</v>
      </c>
      <c r="E2" s="15">
        <f>Неделя!E2</f>
        <v>0</v>
      </c>
      <c r="F2" s="15">
        <f>Неделя!F2</f>
        <v>0</v>
      </c>
      <c r="G2" s="15">
        <f>Неделя!G2</f>
        <v>0</v>
      </c>
      <c r="H2" s="15">
        <f>Неделя!M2</f>
        <v>1</v>
      </c>
    </row>
    <row r="3" spans="1:8">
      <c r="A3" s="15" t="str">
        <f>Неделя!A3</f>
        <v>департамент финансов советская 66-150 резаный</v>
      </c>
      <c r="B3" s="15">
        <f>Неделя!B3</f>
        <v>1.2749999999999999</v>
      </c>
      <c r="C3" s="15">
        <f>Неделя!C3</f>
        <v>0</v>
      </c>
      <c r="D3" s="15">
        <f>Неделя!D3</f>
        <v>1</v>
      </c>
      <c r="E3" s="15">
        <f>Неделя!E3</f>
        <v>0</v>
      </c>
      <c r="F3" s="15">
        <f>Неделя!F3</f>
        <v>0</v>
      </c>
      <c r="G3" s="15">
        <f>Неделя!G3</f>
        <v>0</v>
      </c>
      <c r="H3" s="15">
        <f>Неделя!M3</f>
        <v>1</v>
      </c>
    </row>
    <row r="4" spans="1:8">
      <c r="A4" s="15" t="str">
        <f>Неделя!A4</f>
        <v>метрополис к. Маркса -2x180, 2x150</v>
      </c>
      <c r="B4" s="15">
        <f>Неделя!B4</f>
        <v>6.6899999999999995</v>
      </c>
      <c r="C4" s="15">
        <f>Неделя!C4</f>
        <v>2</v>
      </c>
      <c r="D4" s="15">
        <f>Неделя!D4</f>
        <v>2</v>
      </c>
      <c r="E4" s="15">
        <f>Неделя!E4</f>
        <v>0</v>
      </c>
      <c r="F4" s="15">
        <f>Неделя!F4</f>
        <v>0</v>
      </c>
      <c r="G4" s="15">
        <f>Неделя!G4</f>
        <v>0</v>
      </c>
      <c r="H4" s="15">
        <f>Неделя!M4</f>
        <v>1</v>
      </c>
    </row>
    <row r="5" spans="1:8">
      <c r="A5" s="15" t="str">
        <f>Неделя!A5</f>
        <v>метрополис Москва-2х180</v>
      </c>
      <c r="B5" s="15">
        <f>Неделя!B5</f>
        <v>4.1399999999999997</v>
      </c>
      <c r="C5" s="15">
        <f>Неделя!C5</f>
        <v>2</v>
      </c>
      <c r="D5" s="15">
        <f>Неделя!D5</f>
        <v>0</v>
      </c>
      <c r="E5" s="15">
        <f>Неделя!E5</f>
        <v>0</v>
      </c>
      <c r="F5" s="15">
        <f>Неделя!F5</f>
        <v>0</v>
      </c>
      <c r="G5" s="15">
        <f>Неделя!G5</f>
        <v>0</v>
      </c>
      <c r="H5" s="15">
        <f>Неделя!M5</f>
        <v>1</v>
      </c>
    </row>
    <row r="6" spans="1:8">
      <c r="A6" s="15" t="str">
        <f>Неделя!A6</f>
        <v>МТС ленина 6 180</v>
      </c>
      <c r="B6" s="15">
        <f>Неделя!B6</f>
        <v>2.0699999999999998</v>
      </c>
      <c r="C6" s="15">
        <f>Неделя!C6</f>
        <v>1</v>
      </c>
      <c r="D6" s="15">
        <f>Неделя!D6</f>
        <v>0</v>
      </c>
      <c r="E6" s="15">
        <f>Неделя!E6</f>
        <v>0</v>
      </c>
      <c r="F6" s="15">
        <f>Неделя!F6</f>
        <v>0</v>
      </c>
      <c r="G6" s="15">
        <f>Неделя!G6</f>
        <v>0</v>
      </c>
      <c r="H6" s="15">
        <f>Неделя!M6</f>
        <v>1</v>
      </c>
    </row>
    <row r="7" spans="1:8">
      <c r="A7" s="15" t="str">
        <f>Неделя!A7</f>
        <v>пальмира Ленина 5- 200 новый  150 нов</v>
      </c>
      <c r="B7" s="15">
        <f>Неделя!B7</f>
        <v>3.3449999999999998</v>
      </c>
      <c r="C7" s="15">
        <f>Неделя!C7</f>
        <v>1</v>
      </c>
      <c r="D7" s="15">
        <f>Неделя!D7</f>
        <v>1</v>
      </c>
      <c r="E7" s="15">
        <f>Неделя!E7</f>
        <v>0</v>
      </c>
      <c r="F7" s="15">
        <f>Неделя!F7</f>
        <v>0</v>
      </c>
      <c r="G7" s="15">
        <f>Неделя!G7</f>
        <v>0</v>
      </c>
      <c r="H7" s="15">
        <f>Неделя!M7</f>
        <v>1</v>
      </c>
    </row>
    <row r="8" spans="1:8">
      <c r="A8" s="15" t="str">
        <f>Неделя!A8</f>
        <v>чунунок к. Мяготина-2x180</v>
      </c>
      <c r="B8" s="15">
        <f>Неделя!B8</f>
        <v>4.1399999999999997</v>
      </c>
      <c r="C8" s="15">
        <f>Неделя!C8</f>
        <v>2</v>
      </c>
      <c r="D8" s="15">
        <f>Неделя!D8</f>
        <v>0</v>
      </c>
      <c r="E8" s="15">
        <f>Неделя!E8</f>
        <v>0</v>
      </c>
      <c r="F8" s="15">
        <f>Неделя!F8</f>
        <v>0</v>
      </c>
      <c r="G8" s="15">
        <f>Неделя!G8</f>
        <v>0</v>
      </c>
      <c r="H8" s="15">
        <f>Неделя!M8</f>
        <v>1</v>
      </c>
    </row>
    <row r="9" spans="1:8" hidden="1">
      <c r="A9" s="15" t="str">
        <f>Неделя!A9</f>
        <v>Сбер академия 2х150 коричнев стар</v>
      </c>
      <c r="B9" s="15">
        <f>Неделя!B9</f>
        <v>2.5499999999999998</v>
      </c>
      <c r="C9" s="15">
        <f>Неделя!C9</f>
        <v>0</v>
      </c>
      <c r="D9" s="15">
        <f>Неделя!D9</f>
        <v>2</v>
      </c>
      <c r="E9" s="15">
        <f>Неделя!E9</f>
        <v>0</v>
      </c>
      <c r="F9" s="15">
        <f>Неделя!F9</f>
        <v>0</v>
      </c>
      <c r="G9" s="15">
        <f>Неделя!G9</f>
        <v>0</v>
      </c>
      <c r="H9" s="15">
        <f>Неделя!M9</f>
        <v>0</v>
      </c>
    </row>
    <row r="10" spans="1:8" hidden="1">
      <c r="A10" s="15" t="str">
        <f>Неделя!A10</f>
        <v>Сбер красина 2х150</v>
      </c>
      <c r="B10" s="15">
        <f>Неделя!B10</f>
        <v>2.5499999999999998</v>
      </c>
      <c r="C10" s="15">
        <f>Неделя!C10</f>
        <v>0</v>
      </c>
      <c r="D10" s="15">
        <f>Неделя!D10</f>
        <v>2</v>
      </c>
      <c r="E10" s="15">
        <f>Неделя!E10</f>
        <v>0</v>
      </c>
      <c r="F10" s="15">
        <f>Неделя!F10</f>
        <v>0</v>
      </c>
      <c r="G10" s="15">
        <f>Неделя!G10</f>
        <v>0</v>
      </c>
      <c r="H10" s="15">
        <f>Неделя!M10</f>
        <v>0</v>
      </c>
    </row>
    <row r="11" spans="1:8" hidden="1">
      <c r="A11" s="15" t="str">
        <f>Неделя!A11</f>
        <v>сбербанк гоголя 98-3ий вход 1 х 150</v>
      </c>
      <c r="B11" s="15">
        <f>Неделя!B11</f>
        <v>1.2749999999999999</v>
      </c>
      <c r="C11" s="15">
        <f>Неделя!C11</f>
        <v>2</v>
      </c>
      <c r="D11" s="15">
        <f>Неделя!D11</f>
        <v>5</v>
      </c>
      <c r="E11" s="15">
        <f>Неделя!E11</f>
        <v>0</v>
      </c>
      <c r="F11" s="15">
        <f>Неделя!F11</f>
        <v>0</v>
      </c>
      <c r="G11" s="15">
        <f>Неделя!G11</f>
        <v>0</v>
      </c>
      <c r="H11" s="15">
        <f>Неделя!M11</f>
        <v>0</v>
      </c>
    </row>
    <row r="12" spans="1:8" hidden="1">
      <c r="A12" s="15" t="str">
        <f>Неделя!A12</f>
        <v>сбербанк гоголя103- 2х150 коричневые</v>
      </c>
      <c r="B12" s="15">
        <f>Неделя!B12</f>
        <v>2.5499999999999998</v>
      </c>
      <c r="C12" s="15">
        <f>Неделя!C12</f>
        <v>0</v>
      </c>
      <c r="D12" s="15">
        <f>Неделя!D12</f>
        <v>2</v>
      </c>
      <c r="E12" s="15">
        <f>Неделя!E12</f>
        <v>0</v>
      </c>
      <c r="F12" s="15">
        <f>Неделя!F12</f>
        <v>0</v>
      </c>
      <c r="G12" s="15">
        <f>Неделя!G12</f>
        <v>0</v>
      </c>
      <c r="H12" s="15">
        <f>Неделя!M12</f>
        <v>0</v>
      </c>
    </row>
    <row r="13" spans="1:8">
      <c r="A13" s="15" t="str">
        <f>Неделя!A13</f>
        <v>Велес дзержинского 180</v>
      </c>
      <c r="B13" s="15">
        <f>Неделя!B13</f>
        <v>2.0699999999999998</v>
      </c>
      <c r="C13" s="15">
        <f>Неделя!C13</f>
        <v>1</v>
      </c>
      <c r="D13" s="15">
        <f>Неделя!D13</f>
        <v>0</v>
      </c>
      <c r="E13" s="15">
        <f>Неделя!E13</f>
        <v>0</v>
      </c>
      <c r="F13" s="15">
        <f>Неделя!F13</f>
        <v>0</v>
      </c>
      <c r="G13" s="15">
        <f>Неделя!G13</f>
        <v>0</v>
      </c>
      <c r="H13" s="15">
        <f>Неделя!M13</f>
        <v>1</v>
      </c>
    </row>
    <row r="14" spans="1:8">
      <c r="A14" s="15" t="str">
        <f>Неделя!A14</f>
        <v>велес юбилейный-150 новый</v>
      </c>
      <c r="B14" s="15">
        <f>Неделя!B14</f>
        <v>1.2749999999999999</v>
      </c>
      <c r="C14" s="15">
        <f>Неделя!C14</f>
        <v>0</v>
      </c>
      <c r="D14" s="15">
        <f>Неделя!D14</f>
        <v>1</v>
      </c>
      <c r="E14" s="15">
        <f>Неделя!E14</f>
        <v>0</v>
      </c>
      <c r="F14" s="15">
        <f>Неделя!F14</f>
        <v>0</v>
      </c>
      <c r="G14" s="15">
        <f>Неделя!G14</f>
        <v>0</v>
      </c>
      <c r="H14" s="15">
        <f>Неделя!M14</f>
        <v>1</v>
      </c>
    </row>
    <row r="15" spans="1:8">
      <c r="A15" s="15" t="str">
        <f>Неделя!A15</f>
        <v>газпроммежрегионгаз- 2x150, 180 </v>
      </c>
      <c r="B15" s="15">
        <f>Неделя!B15</f>
        <v>4.6199999999999992</v>
      </c>
      <c r="C15" s="15">
        <f>Неделя!C15</f>
        <v>1</v>
      </c>
      <c r="D15" s="15">
        <f>Неделя!D15</f>
        <v>0</v>
      </c>
      <c r="E15" s="15">
        <f>Неделя!E15</f>
        <v>0</v>
      </c>
      <c r="F15" s="15">
        <f>Неделя!F15</f>
        <v>0</v>
      </c>
      <c r="G15" s="15">
        <f>Неделя!G15</f>
        <v>0</v>
      </c>
      <c r="H15" s="15">
        <f>Неделя!M15</f>
        <v>1</v>
      </c>
    </row>
    <row r="16" spans="1:8">
      <c r="A16" s="15" t="str">
        <f>Неделя!A16</f>
        <v>Кижк 400 рез, 180</v>
      </c>
      <c r="B16" s="15">
        <f>Неделя!B16</f>
        <v>6.07</v>
      </c>
      <c r="C16" s="15">
        <f>Неделя!C16</f>
        <v>1</v>
      </c>
      <c r="D16" s="15">
        <f>Неделя!D16</f>
        <v>0</v>
      </c>
      <c r="E16" s="15">
        <f>Неделя!E16</f>
        <v>0</v>
      </c>
      <c r="F16" s="15">
        <f>Неделя!F16</f>
        <v>1</v>
      </c>
      <c r="G16" s="15">
        <f>Неделя!G16</f>
        <v>0</v>
      </c>
      <c r="H16" s="15">
        <f>Неделя!M16</f>
        <v>1</v>
      </c>
    </row>
    <row r="17" spans="1:8">
      <c r="A17" s="15" t="str">
        <f>Неделя!A17</f>
        <v>кодак Кирова-150 старые </v>
      </c>
      <c r="B17" s="15">
        <f>Неделя!B17</f>
        <v>1.2749999999999999</v>
      </c>
      <c r="C17" s="15">
        <f>Неделя!C17</f>
        <v>0</v>
      </c>
      <c r="D17" s="15">
        <f>Неделя!D17</f>
        <v>1</v>
      </c>
      <c r="E17" s="15">
        <f>Неделя!E17</f>
        <v>0</v>
      </c>
      <c r="F17" s="15">
        <f>Неделя!F17</f>
        <v>0</v>
      </c>
      <c r="G17" s="15">
        <f>Неделя!G17</f>
        <v>0</v>
      </c>
      <c r="H17" s="15">
        <f>Неделя!M17</f>
        <v>1</v>
      </c>
    </row>
    <row r="18" spans="1:8">
      <c r="A18" s="15" t="str">
        <f>Неделя!A18</f>
        <v>мегаблин гоголя-180 </v>
      </c>
      <c r="B18" s="15">
        <f>Неделя!B18</f>
        <v>2.0699999999999998</v>
      </c>
      <c r="C18" s="15">
        <f>Неделя!C18</f>
        <v>1</v>
      </c>
      <c r="D18" s="15">
        <f>Неделя!D18</f>
        <v>0</v>
      </c>
      <c r="E18" s="15">
        <f>Неделя!E18</f>
        <v>0</v>
      </c>
      <c r="F18" s="15">
        <f>Неделя!F18</f>
        <v>0</v>
      </c>
      <c r="G18" s="15">
        <f>Неделя!G18</f>
        <v>0</v>
      </c>
      <c r="H18" s="15">
        <f>Неделя!M18</f>
        <v>1</v>
      </c>
    </row>
    <row r="19" spans="1:8">
      <c r="A19" s="15" t="str">
        <f>Неделя!A19</f>
        <v>Монетка гоголя 103 -180</v>
      </c>
      <c r="B19" s="15">
        <f>Неделя!B19</f>
        <v>2.0699999999999998</v>
      </c>
      <c r="C19" s="15">
        <f>Неделя!C19</f>
        <v>1</v>
      </c>
      <c r="D19" s="15">
        <f>Неделя!D19</f>
        <v>0</v>
      </c>
      <c r="E19" s="15">
        <f>Неделя!E19</f>
        <v>0</v>
      </c>
      <c r="F19" s="15">
        <f>Неделя!F19</f>
        <v>0</v>
      </c>
      <c r="G19" s="15">
        <f>Неделя!G19</f>
        <v>0</v>
      </c>
      <c r="H19" s="15">
        <f>Неделя!M19</f>
        <v>1</v>
      </c>
    </row>
    <row r="20" spans="1:8">
      <c r="A20" s="15" t="str">
        <f>Неделя!A20</f>
        <v>Монетка кирова 180</v>
      </c>
      <c r="B20" s="15">
        <f>Неделя!B20</f>
        <v>2.0699999999999998</v>
      </c>
      <c r="C20" s="15">
        <f>Неделя!C20</f>
        <v>1</v>
      </c>
      <c r="D20" s="15">
        <f>Неделя!D20</f>
        <v>0</v>
      </c>
      <c r="E20" s="15">
        <f>Неделя!E20</f>
        <v>0</v>
      </c>
      <c r="F20" s="15">
        <f>Неделя!F20</f>
        <v>0</v>
      </c>
      <c r="G20" s="15">
        <f>Неделя!G20</f>
        <v>0</v>
      </c>
      <c r="H20" s="15">
        <f>Неделя!M20</f>
        <v>1</v>
      </c>
    </row>
    <row r="21" spans="1:8">
      <c r="A21" s="15" t="str">
        <f>Неделя!A21</f>
        <v>Монетка красина 180</v>
      </c>
      <c r="B21" s="15">
        <f>Неделя!B21</f>
        <v>2.0699999999999998</v>
      </c>
      <c r="C21" s="15">
        <f>Неделя!C21</f>
        <v>1</v>
      </c>
      <c r="D21" s="15">
        <f>Неделя!D21</f>
        <v>0</v>
      </c>
      <c r="E21" s="15">
        <f>Неделя!E21</f>
        <v>0</v>
      </c>
      <c r="F21" s="15">
        <f>Неделя!F21</f>
        <v>0</v>
      </c>
      <c r="G21" s="15">
        <f>Неделя!G21</f>
        <v>0</v>
      </c>
      <c r="H21" s="15">
        <f>Неделя!M21</f>
        <v>1</v>
      </c>
    </row>
    <row r="22" spans="1:8">
      <c r="A22" s="15" t="str">
        <f>Неделя!A22</f>
        <v>Монетка пушкина 49-180</v>
      </c>
      <c r="B22" s="15">
        <f>Неделя!B22</f>
        <v>2.0699999999999998</v>
      </c>
      <c r="C22" s="15">
        <f>Неделя!C22</f>
        <v>1</v>
      </c>
      <c r="D22" s="15">
        <f>Неделя!D22</f>
        <v>0</v>
      </c>
      <c r="E22" s="15">
        <f>Неделя!E22</f>
        <v>0</v>
      </c>
      <c r="F22" s="15">
        <f>Неделя!F22</f>
        <v>0</v>
      </c>
      <c r="G22" s="15">
        <f>Неделя!G22</f>
        <v>0</v>
      </c>
      <c r="H22" s="15">
        <f>Неделя!M22</f>
        <v>1</v>
      </c>
    </row>
    <row r="23" spans="1:8">
      <c r="A23" s="15" t="str">
        <f>Неделя!A23</f>
        <v>Монтка Ленина М Горько 180</v>
      </c>
      <c r="B23" s="15">
        <f>Неделя!B23</f>
        <v>2.0699999999999998</v>
      </c>
      <c r="C23" s="15">
        <f>Неделя!C23</f>
        <v>1</v>
      </c>
      <c r="D23" s="15">
        <f>Неделя!D23</f>
        <v>0</v>
      </c>
      <c r="E23" s="15">
        <f>Неделя!E23</f>
        <v>0</v>
      </c>
      <c r="F23" s="15">
        <f>Неделя!F23</f>
        <v>0</v>
      </c>
      <c r="G23" s="15">
        <f>Неделя!G23</f>
        <v>0</v>
      </c>
      <c r="H23" s="15">
        <f>Неделя!M23</f>
        <v>1</v>
      </c>
    </row>
    <row r="24" spans="1:8">
      <c r="A24" s="15" t="str">
        <f>Неделя!A24</f>
        <v>Мясной к. маркса 150 рез</v>
      </c>
      <c r="B24" s="15">
        <f>Неделя!B24</f>
        <v>1.2749999999999999</v>
      </c>
      <c r="C24" s="15">
        <f>Неделя!C24</f>
        <v>0</v>
      </c>
      <c r="D24" s="15">
        <f>Неделя!D24</f>
        <v>1</v>
      </c>
      <c r="E24" s="15">
        <f>Неделя!E24</f>
        <v>0</v>
      </c>
      <c r="F24" s="15">
        <f>Неделя!F24</f>
        <v>0</v>
      </c>
      <c r="G24" s="15">
        <f>Неделя!G24</f>
        <v>0</v>
      </c>
      <c r="H24" s="15">
        <f>Неделя!M24</f>
        <v>1</v>
      </c>
    </row>
    <row r="25" spans="1:8">
      <c r="A25" s="15" t="str">
        <f>Неделя!A25</f>
        <v>Мясной советская 39 180 </v>
      </c>
      <c r="B25" s="15">
        <f>Неделя!B25</f>
        <v>2.0699999999999998</v>
      </c>
      <c r="C25" s="15">
        <f>Неделя!C25</f>
        <v>1</v>
      </c>
      <c r="D25" s="15">
        <f>Неделя!D25</f>
        <v>0</v>
      </c>
      <c r="E25" s="15">
        <f>Неделя!E25</f>
        <v>0</v>
      </c>
      <c r="F25" s="15">
        <f>Неделя!F25</f>
        <v>0</v>
      </c>
      <c r="G25" s="15">
        <f>Неделя!G25</f>
        <v>0</v>
      </c>
      <c r="H25" s="15">
        <f>Неделя!M25</f>
        <v>1</v>
      </c>
    </row>
    <row r="26" spans="1:8">
      <c r="A26" s="15" t="str">
        <f>Неделя!A26</f>
        <v>Пальмира гоголя 150</v>
      </c>
      <c r="B26" s="15">
        <f>Неделя!B26</f>
        <v>1.2749999999999999</v>
      </c>
      <c r="C26" s="15">
        <f>Неделя!C26</f>
        <v>0</v>
      </c>
      <c r="D26" s="15">
        <f>Неделя!D26</f>
        <v>1</v>
      </c>
      <c r="E26" s="15">
        <f>Неделя!E26</f>
        <v>0</v>
      </c>
      <c r="F26" s="15">
        <f>Неделя!F26</f>
        <v>0</v>
      </c>
      <c r="G26" s="15">
        <f>Неделя!G26</f>
        <v>0</v>
      </c>
      <c r="H26" s="15">
        <f>Неделя!M26</f>
        <v>1</v>
      </c>
    </row>
    <row r="27" spans="1:8">
      <c r="A27" s="15" t="str">
        <f>Неделя!A27</f>
        <v>пальмира юбилейный-180 НОВЫЙ</v>
      </c>
      <c r="B27" s="15">
        <f>Неделя!B27</f>
        <v>2.0699999999999998</v>
      </c>
      <c r="C27" s="15">
        <f>Неделя!C27</f>
        <v>1</v>
      </c>
      <c r="D27" s="15">
        <f>Неделя!D27</f>
        <v>0</v>
      </c>
      <c r="E27" s="15">
        <f>Неделя!E27</f>
        <v>0</v>
      </c>
      <c r="F27" s="15">
        <f>Неделя!F27</f>
        <v>0</v>
      </c>
      <c r="G27" s="15">
        <f>Неделя!G27</f>
        <v>0</v>
      </c>
      <c r="H27" s="15">
        <f>Неделя!M27</f>
        <v>1</v>
      </c>
    </row>
    <row r="28" spans="1:8">
      <c r="A28" s="15" t="str">
        <f>Неделя!A28</f>
        <v>прогресс Пролетарская-180, 60x80</v>
      </c>
      <c r="B28" s="15">
        <f>Неделя!B28</f>
        <v>3.3449999999999998</v>
      </c>
      <c r="C28" s="15">
        <f>Неделя!C28</f>
        <v>1</v>
      </c>
      <c r="D28" s="15">
        <f>Неделя!D28</f>
        <v>0</v>
      </c>
      <c r="E28" s="15">
        <f>Неделя!E28</f>
        <v>1</v>
      </c>
      <c r="F28" s="15">
        <f>Неделя!F28</f>
        <v>0</v>
      </c>
      <c r="G28" s="15">
        <f>Неделя!G28</f>
        <v>0</v>
      </c>
      <c r="H28" s="15">
        <f>Неделя!M28</f>
        <v>1</v>
      </c>
    </row>
    <row r="29" spans="1:8">
      <c r="A29" s="15" t="str">
        <f>Неделя!A29</f>
        <v>прогресс советская 180, 150 новые</v>
      </c>
      <c r="B29" s="15">
        <f>Неделя!B29</f>
        <v>3.3449999999999998</v>
      </c>
      <c r="C29" s="15">
        <f>Неделя!C29</f>
        <v>1</v>
      </c>
      <c r="D29" s="15">
        <f>Неделя!D29</f>
        <v>1</v>
      </c>
      <c r="E29" s="15">
        <f>Неделя!E29</f>
        <v>0</v>
      </c>
      <c r="F29" s="15">
        <f>Неделя!F29</f>
        <v>0</v>
      </c>
      <c r="G29" s="15">
        <f>Неделя!G29</f>
        <v>0</v>
      </c>
      <c r="H29" s="15">
        <f>Неделя!M29</f>
        <v>1</v>
      </c>
    </row>
    <row r="30" spans="1:8" hidden="1">
      <c r="A30" s="15" t="str">
        <f>Неделя!A30</f>
        <v>сбербанк гоголя 98-1 вх 3Х150 коричневые </v>
      </c>
      <c r="B30" s="15">
        <f>Неделя!B30</f>
        <v>3.8249999999999997</v>
      </c>
      <c r="C30" s="15">
        <f>Неделя!C30</f>
        <v>0</v>
      </c>
      <c r="D30" s="15">
        <f>Неделя!D30</f>
        <v>0</v>
      </c>
      <c r="E30" s="15">
        <f>Неделя!E30</f>
        <v>0</v>
      </c>
      <c r="F30" s="15">
        <f>Неделя!F30</f>
        <v>0</v>
      </c>
      <c r="G30" s="15">
        <f>Неделя!G30</f>
        <v>0</v>
      </c>
      <c r="H30" s="15">
        <f>Неделя!M30</f>
        <v>0</v>
      </c>
    </row>
    <row r="31" spans="1:8" hidden="1">
      <c r="A31" s="15" t="str">
        <f>Неделя!A31</f>
        <v xml:space="preserve">сбербанк гоголя 98-2ой вход 2х180 </v>
      </c>
      <c r="B31" s="15">
        <f>Неделя!B31</f>
        <v>4.1399999999999997</v>
      </c>
      <c r="C31" s="15">
        <f>Неделя!C31</f>
        <v>0</v>
      </c>
      <c r="D31" s="15">
        <f>Неделя!D31</f>
        <v>0</v>
      </c>
      <c r="E31" s="15">
        <f>Неделя!E31</f>
        <v>0</v>
      </c>
      <c r="F31" s="15">
        <f>Неделя!F31</f>
        <v>0</v>
      </c>
      <c r="G31" s="15">
        <f>Неделя!G31</f>
        <v>0</v>
      </c>
      <c r="H31" s="15">
        <f>Неделя!M31</f>
        <v>0</v>
      </c>
    </row>
    <row r="32" spans="1:8">
      <c r="A32" s="15" t="str">
        <f>Неделя!A32</f>
        <v>теремок Куйбышева -150 старый</v>
      </c>
      <c r="B32" s="15">
        <f>Неделя!B32</f>
        <v>1.2749999999999999</v>
      </c>
      <c r="C32" s="15">
        <f>Неделя!C32</f>
        <v>0</v>
      </c>
      <c r="D32" s="15">
        <f>Неделя!D32</f>
        <v>1</v>
      </c>
      <c r="E32" s="15">
        <f>Неделя!E32</f>
        <v>0</v>
      </c>
      <c r="F32" s="15">
        <f>Неделя!F32</f>
        <v>0</v>
      </c>
      <c r="G32" s="15">
        <f>Неделя!G32</f>
        <v>0</v>
      </c>
      <c r="H32" s="15">
        <f>Неделя!M32</f>
        <v>1</v>
      </c>
    </row>
    <row r="33" spans="1:8">
      <c r="A33" s="15" t="str">
        <f>Неделя!A33</f>
        <v>Тп 2х180</v>
      </c>
      <c r="B33" s="15">
        <f>Неделя!B33</f>
        <v>4.1399999999999997</v>
      </c>
      <c r="C33" s="15">
        <f>Неделя!C33</f>
        <v>2</v>
      </c>
      <c r="D33" s="15">
        <f>Неделя!D33</f>
        <v>0</v>
      </c>
      <c r="E33" s="15">
        <f>Неделя!E33</f>
        <v>0</v>
      </c>
      <c r="F33" s="15">
        <f>Неделя!F33</f>
        <v>0</v>
      </c>
      <c r="G33" s="15">
        <f>Неделя!G33</f>
        <v>0</v>
      </c>
      <c r="H33" s="15">
        <f>Неделя!M33</f>
        <v>1</v>
      </c>
    </row>
    <row r="34" spans="1:8">
      <c r="A34" s="15" t="str">
        <f>Неделя!A34</f>
        <v>Хлеб да мясо 150 резаный хороший </v>
      </c>
      <c r="B34" s="15">
        <f>Неделя!B34</f>
        <v>1.2749999999999999</v>
      </c>
      <c r="C34" s="15">
        <f>Неделя!C34</f>
        <v>0</v>
      </c>
      <c r="D34" s="15">
        <f>Неделя!D34</f>
        <v>1</v>
      </c>
      <c r="E34" s="15">
        <f>Неделя!E34</f>
        <v>0</v>
      </c>
      <c r="F34" s="15">
        <f>Неделя!F34</f>
        <v>0</v>
      </c>
      <c r="G34" s="15">
        <f>Неделя!G34</f>
        <v>0</v>
      </c>
      <c r="H34" s="15">
        <f>Неделя!M34</f>
        <v>1</v>
      </c>
    </row>
    <row r="35" spans="1:8">
      <c r="A35" s="15" t="str">
        <f>Неделя!A35</f>
        <v>Яхонт ленина 150</v>
      </c>
      <c r="B35" s="15">
        <f>Неделя!B35</f>
        <v>1.2749999999999999</v>
      </c>
      <c r="C35" s="15">
        <f>Неделя!C35</f>
        <v>0</v>
      </c>
      <c r="D35" s="15">
        <f>Неделя!D35</f>
        <v>1</v>
      </c>
      <c r="E35" s="15">
        <f>Неделя!E35</f>
        <v>0</v>
      </c>
      <c r="F35" s="15">
        <f>Неделя!F35</f>
        <v>0</v>
      </c>
      <c r="G35" s="15">
        <f>Неделя!G35</f>
        <v>0</v>
      </c>
      <c r="H35" s="15">
        <f>Неделя!M35</f>
        <v>1</v>
      </c>
    </row>
    <row r="36" spans="1:8">
      <c r="A36" s="15" t="str">
        <f>Неделя!A36</f>
        <v>Авангард банк красина 180 сер. 1 шт</v>
      </c>
      <c r="B36" s="15">
        <f>Неделя!B36</f>
        <v>2.0699999999999998</v>
      </c>
      <c r="C36" s="15">
        <f>Неделя!C36</f>
        <v>1</v>
      </c>
      <c r="D36" s="15">
        <f>Неделя!D36</f>
        <v>0</v>
      </c>
      <c r="E36" s="15">
        <f>Неделя!E36</f>
        <v>0</v>
      </c>
      <c r="F36" s="15">
        <f>Неделя!F36</f>
        <v>0</v>
      </c>
      <c r="G36" s="15">
        <f>Неделя!G36</f>
        <v>0</v>
      </c>
      <c r="H36" s="15">
        <f>Неделя!M36</f>
        <v>1</v>
      </c>
    </row>
    <row r="37" spans="1:8" hidden="1">
      <c r="A37" s="15" t="str">
        <f>Неделя!A37</f>
        <v>Альфа банк гоголя 180</v>
      </c>
      <c r="B37" s="15">
        <f>Неделя!B37</f>
        <v>2.0699999999999998</v>
      </c>
      <c r="C37" s="15">
        <f>Неделя!C37</f>
        <v>1</v>
      </c>
      <c r="D37" s="15">
        <f>Неделя!D37</f>
        <v>0</v>
      </c>
      <c r="E37" s="15">
        <f>Неделя!E37</f>
        <v>0</v>
      </c>
      <c r="F37" s="15">
        <f>Неделя!F37</f>
        <v>0</v>
      </c>
      <c r="G37" s="15">
        <f>Неделя!G37</f>
        <v>0</v>
      </c>
      <c r="H37" s="15">
        <f>Неделя!M37</f>
        <v>0</v>
      </c>
    </row>
    <row r="38" spans="1:8">
      <c r="A38" s="15" t="str">
        <f>Неделя!A38</f>
        <v>Альфа банк Гоголя-красина 150 сер.нов.1 шт.</v>
      </c>
      <c r="B38" s="15">
        <f>Неделя!B38</f>
        <v>1.2749999999999999</v>
      </c>
      <c r="C38" s="15">
        <f>Неделя!C38</f>
        <v>0</v>
      </c>
      <c r="D38" s="15">
        <f>Неделя!D38</f>
        <v>1</v>
      </c>
      <c r="E38" s="15">
        <f>Неделя!E38</f>
        <v>0</v>
      </c>
      <c r="F38" s="15">
        <f>Неделя!F38</f>
        <v>0</v>
      </c>
      <c r="G38" s="15">
        <f>Неделя!G38</f>
        <v>0</v>
      </c>
      <c r="H38" s="15">
        <f>Неделя!M38</f>
        <v>1</v>
      </c>
    </row>
    <row r="39" spans="1:8" hidden="1">
      <c r="A39" s="15" t="str">
        <f>Неделя!A39</f>
        <v>Альфа мед гоголя-2х180</v>
      </c>
      <c r="B39" s="15">
        <f>Неделя!B39</f>
        <v>4.1399999999999997</v>
      </c>
      <c r="C39" s="15">
        <f>Неделя!C39</f>
        <v>2</v>
      </c>
      <c r="D39" s="15">
        <f>Неделя!D39</f>
        <v>0</v>
      </c>
      <c r="E39" s="15">
        <f>Неделя!E39</f>
        <v>0</v>
      </c>
      <c r="F39" s="15">
        <f>Неделя!F39</f>
        <v>0</v>
      </c>
      <c r="G39" s="15">
        <f>Неделя!G39</f>
        <v>0</v>
      </c>
      <c r="H39" s="15">
        <f>Неделя!M39</f>
        <v>0</v>
      </c>
    </row>
    <row r="40" spans="1:8">
      <c r="A40" s="15" t="str">
        <f>Неделя!A40</f>
        <v>Альфа мед к.маркса -2х180,(ц.зд. Женщины, кометология)</v>
      </c>
      <c r="B40" s="15">
        <f>Неделя!B40</f>
        <v>4.1399999999999997</v>
      </c>
      <c r="C40" s="15">
        <f>Неделя!C40</f>
        <v>2</v>
      </c>
      <c r="D40" s="15">
        <f>Неделя!D40</f>
        <v>0</v>
      </c>
      <c r="E40" s="15">
        <f>Неделя!E40</f>
        <v>0</v>
      </c>
      <c r="F40" s="15">
        <f>Неделя!F40</f>
        <v>0</v>
      </c>
      <c r="G40" s="15">
        <f>Неделя!G40</f>
        <v>0</v>
      </c>
      <c r="H40" s="15">
        <f>Неделя!M40</f>
        <v>1</v>
      </c>
    </row>
    <row r="41" spans="1:8">
      <c r="A41" s="15" t="str">
        <f>Неделя!A41</f>
        <v>Аннушка куйбышева 180</v>
      </c>
      <c r="B41" s="15">
        <f>Неделя!B41</f>
        <v>2.0699999999999998</v>
      </c>
      <c r="C41" s="15">
        <f>Неделя!C41</f>
        <v>1</v>
      </c>
      <c r="D41" s="15">
        <f>Неделя!D41</f>
        <v>0</v>
      </c>
      <c r="E41" s="15">
        <f>Неделя!E41</f>
        <v>0</v>
      </c>
      <c r="F41" s="15">
        <f>Неделя!F41</f>
        <v>0</v>
      </c>
      <c r="G41" s="15">
        <f>Неделя!G41</f>
        <v>0</v>
      </c>
      <c r="H41" s="15">
        <f>Неделя!M41</f>
        <v>1</v>
      </c>
    </row>
    <row r="42" spans="1:8" hidden="1">
      <c r="A42" s="15" t="str">
        <f>Неделя!A42</f>
        <v>Аптека гоголя 37-150 </v>
      </c>
      <c r="B42" s="15">
        <f>Неделя!B42</f>
        <v>1.2749999999999999</v>
      </c>
      <c r="C42" s="15">
        <f>Неделя!C42</f>
        <v>0</v>
      </c>
      <c r="D42" s="15">
        <f>Неделя!D42</f>
        <v>1</v>
      </c>
      <c r="E42" s="15">
        <f>Неделя!E42</f>
        <v>0</v>
      </c>
      <c r="F42" s="15">
        <f>Неделя!F42</f>
        <v>0</v>
      </c>
      <c r="G42" s="15">
        <f>Неделя!G42</f>
        <v>0</v>
      </c>
      <c r="H42" s="15">
        <f>Неделя!M42</f>
        <v>0</v>
      </c>
    </row>
    <row r="43" spans="1:8">
      <c r="A43" s="15" t="str">
        <f>Неделя!A43</f>
        <v>Аптека гоголя 9-150</v>
      </c>
      <c r="B43" s="15">
        <f>Неделя!B43</f>
        <v>1.2749999999999999</v>
      </c>
      <c r="C43" s="15">
        <f>Неделя!C43</f>
        <v>0</v>
      </c>
      <c r="D43" s="15">
        <f>Неделя!D43</f>
        <v>1</v>
      </c>
      <c r="E43" s="15">
        <f>Неделя!E43</f>
        <v>0</v>
      </c>
      <c r="F43" s="15">
        <f>Неделя!F43</f>
        <v>0</v>
      </c>
      <c r="G43" s="15">
        <f>Неделя!G43</f>
        <v>0</v>
      </c>
      <c r="H43" s="15">
        <f>Неделя!M43</f>
        <v>1</v>
      </c>
    </row>
    <row r="44" spans="1:8" hidden="1">
      <c r="A44" s="15" t="str">
        <f>Неделя!A44</f>
        <v>Аптека ленина 5-150</v>
      </c>
      <c r="B44" s="15">
        <f>Неделя!B44</f>
        <v>1.2749999999999999</v>
      </c>
      <c r="C44" s="15">
        <f>Неделя!C44</f>
        <v>0</v>
      </c>
      <c r="D44" s="15">
        <f>Неделя!D44</f>
        <v>1</v>
      </c>
      <c r="E44" s="15">
        <f>Неделя!E44</f>
        <v>0</v>
      </c>
      <c r="F44" s="15">
        <f>Неделя!F44</f>
        <v>0</v>
      </c>
      <c r="G44" s="15">
        <f>Неделя!G44</f>
        <v>0</v>
      </c>
      <c r="H44" s="15">
        <f>Неделя!M44</f>
        <v>0</v>
      </c>
    </row>
    <row r="45" spans="1:8" hidden="1">
      <c r="A45" s="15" t="str">
        <f>Неделя!A45</f>
        <v>Аптека пушкина 91-2х150</v>
      </c>
      <c r="B45" s="15">
        <f>Неделя!B45</f>
        <v>2.5499999999999998</v>
      </c>
      <c r="C45" s="15">
        <f>Неделя!C45</f>
        <v>0</v>
      </c>
      <c r="D45" s="15">
        <f>Неделя!D45</f>
        <v>2</v>
      </c>
      <c r="E45" s="15">
        <f>Неделя!E45</f>
        <v>0</v>
      </c>
      <c r="F45" s="15">
        <f>Неделя!F45</f>
        <v>0</v>
      </c>
      <c r="G45" s="15">
        <f>Неделя!G45</f>
        <v>0</v>
      </c>
      <c r="H45" s="15">
        <f>Неделя!M45</f>
        <v>0</v>
      </c>
    </row>
    <row r="46" spans="1:8">
      <c r="A46" s="15" t="str">
        <f>Неделя!A46</f>
        <v>Атлант кирова 250 </v>
      </c>
      <c r="B46" s="15">
        <f>Неделя!B46</f>
        <v>3.7</v>
      </c>
      <c r="C46" s="15">
        <f>Неделя!C46</f>
        <v>0</v>
      </c>
      <c r="D46" s="15">
        <f>Неделя!D46</f>
        <v>0</v>
      </c>
      <c r="E46" s="15">
        <f>Неделя!E46</f>
        <v>1</v>
      </c>
      <c r="F46" s="15">
        <f>Неделя!F46</f>
        <v>0</v>
      </c>
      <c r="G46" s="15">
        <f>Неделя!G46</f>
        <v>0</v>
      </c>
      <c r="H46" s="15">
        <f>Неделя!M46</f>
        <v>1</v>
      </c>
    </row>
    <row r="47" spans="1:8" hidden="1">
      <c r="A47" s="15" t="str">
        <f>Неделя!A47</f>
        <v>Банк России 180   2шт</v>
      </c>
      <c r="B47" s="15">
        <f>Неделя!B47</f>
        <v>4.1399999999999997</v>
      </c>
      <c r="C47" s="15">
        <f>Неделя!C47</f>
        <v>2</v>
      </c>
      <c r="D47" s="15">
        <f>Неделя!D47</f>
        <v>2</v>
      </c>
      <c r="E47" s="15">
        <f>Неделя!E47</f>
        <v>0</v>
      </c>
      <c r="F47" s="15">
        <f>Неделя!F47</f>
        <v>0</v>
      </c>
      <c r="G47" s="15">
        <f>Неделя!G47</f>
        <v>0</v>
      </c>
      <c r="H47" s="15">
        <f>Неделя!M47</f>
        <v>0</v>
      </c>
    </row>
    <row r="48" spans="1:8" hidden="1">
      <c r="A48" s="15" t="str">
        <f>Неделя!A48</f>
        <v>Баон 150</v>
      </c>
      <c r="B48" s="15">
        <f>Неделя!B48</f>
        <v>1.2749999999999999</v>
      </c>
      <c r="C48" s="15">
        <f>Неделя!C48</f>
        <v>0</v>
      </c>
      <c r="D48" s="15">
        <f>Неделя!D48</f>
        <v>1</v>
      </c>
      <c r="E48" s="15">
        <f>Неделя!E48</f>
        <v>0</v>
      </c>
      <c r="F48" s="15">
        <f>Неделя!F48</f>
        <v>0</v>
      </c>
      <c r="G48" s="15">
        <f>Неделя!G48</f>
        <v>0</v>
      </c>
      <c r="H48" s="15">
        <f>Неделя!M48</f>
        <v>0</v>
      </c>
    </row>
    <row r="49" spans="1:8">
      <c r="A49" s="15" t="str">
        <f>Неделя!A49</f>
        <v>Буше горького 150</v>
      </c>
      <c r="B49" s="15">
        <f>Неделя!B49</f>
        <v>1.2749999999999999</v>
      </c>
      <c r="C49" s="15">
        <f>Неделя!C49</f>
        <v>0</v>
      </c>
      <c r="D49" s="15">
        <f>Неделя!D49</f>
        <v>1</v>
      </c>
      <c r="E49" s="15">
        <f>Неделя!E49</f>
        <v>0</v>
      </c>
      <c r="F49" s="15">
        <f>Неделя!F49</f>
        <v>0</v>
      </c>
      <c r="G49" s="15">
        <f>Неделя!G49</f>
        <v>0</v>
      </c>
      <c r="H49" s="15">
        <f>Неделя!M49</f>
        <v>1</v>
      </c>
    </row>
    <row r="50" spans="1:8">
      <c r="A50" s="15" t="str">
        <f>Неделя!A50</f>
        <v>Буше красина  150 нов</v>
      </c>
      <c r="B50" s="15">
        <f>Неделя!B50</f>
        <v>1.2749999999999999</v>
      </c>
      <c r="C50" s="15">
        <f>Неделя!C50</f>
        <v>0</v>
      </c>
      <c r="D50" s="15">
        <f>Неделя!D50</f>
        <v>1</v>
      </c>
      <c r="E50" s="15">
        <f>Неделя!E50</f>
        <v>0</v>
      </c>
      <c r="F50" s="15">
        <f>Неделя!F50</f>
        <v>0</v>
      </c>
      <c r="G50" s="15">
        <f>Неделя!G50</f>
        <v>0</v>
      </c>
      <c r="H50" s="15">
        <f>Неделя!M50</f>
        <v>1</v>
      </c>
    </row>
    <row r="51" spans="1:8" hidden="1">
      <c r="A51" s="15" t="str">
        <f>Неделя!A51</f>
        <v>Втб гоголя-250</v>
      </c>
      <c r="B51" s="15">
        <f>Неделя!B51</f>
        <v>3.7</v>
      </c>
      <c r="C51" s="15">
        <f>Неделя!C51</f>
        <v>0</v>
      </c>
      <c r="D51" s="15">
        <f>Неделя!D51</f>
        <v>0</v>
      </c>
      <c r="E51" s="15">
        <f>Неделя!E51</f>
        <v>0</v>
      </c>
      <c r="F51" s="15">
        <f>Неделя!F51</f>
        <v>0</v>
      </c>
      <c r="G51" s="15">
        <f>Неделя!G51</f>
        <v>1</v>
      </c>
      <c r="H51" s="15">
        <f>Неделя!M51</f>
        <v>0</v>
      </c>
    </row>
    <row r="52" spans="1:8">
      <c r="A52" s="15" t="str">
        <f>Неделя!A52</f>
        <v>Втб куйбышева 180</v>
      </c>
      <c r="B52" s="15">
        <f>Неделя!B52</f>
        <v>2.0699999999999998</v>
      </c>
      <c r="C52" s="15">
        <f>Неделя!C52</f>
        <v>1</v>
      </c>
      <c r="D52" s="15">
        <f>Неделя!D52</f>
        <v>0</v>
      </c>
      <c r="E52" s="15">
        <f>Неделя!E52</f>
        <v>0</v>
      </c>
      <c r="F52" s="15">
        <f>Неделя!F52</f>
        <v>0</v>
      </c>
      <c r="G52" s="15">
        <f>Неделя!G52</f>
        <v>0</v>
      </c>
      <c r="H52" s="15">
        <f>Неделя!M52</f>
        <v>1</v>
      </c>
    </row>
    <row r="53" spans="1:8" hidden="1">
      <c r="A53" s="15" t="str">
        <f>Неделя!A53</f>
        <v>Газпром банк гоголя-180 </v>
      </c>
      <c r="B53" s="15">
        <f>Неделя!B53</f>
        <v>2.0699999999999998</v>
      </c>
      <c r="C53" s="15">
        <f>Неделя!C53</f>
        <v>1</v>
      </c>
      <c r="D53" s="15">
        <f>Неделя!D53</f>
        <v>0</v>
      </c>
      <c r="E53" s="15">
        <f>Неделя!E53</f>
        <v>0</v>
      </c>
      <c r="F53" s="15">
        <f>Неделя!F53</f>
        <v>0</v>
      </c>
      <c r="G53" s="15">
        <f>Неделя!G53</f>
        <v>0</v>
      </c>
      <c r="H53" s="15">
        <f>Неделя!M53</f>
        <v>0</v>
      </c>
    </row>
    <row r="54" spans="1:8">
      <c r="A54" s="15" t="str">
        <f>Неделя!A54</f>
        <v>Друзья друзей 2х150</v>
      </c>
      <c r="B54" s="15">
        <f>Неделя!B54</f>
        <v>2.5499999999999998</v>
      </c>
      <c r="C54" s="15">
        <f>Неделя!C54</f>
        <v>2</v>
      </c>
      <c r="D54" s="15">
        <f>Неделя!D54</f>
        <v>0</v>
      </c>
      <c r="E54" s="15">
        <f>Неделя!E54</f>
        <v>0</v>
      </c>
      <c r="F54" s="15">
        <f>Неделя!F54</f>
        <v>0</v>
      </c>
      <c r="G54" s="15">
        <f>Неделя!G54</f>
        <v>0</v>
      </c>
      <c r="H54" s="15">
        <f>Неделя!M54</f>
        <v>1</v>
      </c>
    </row>
    <row r="55" spans="1:8" hidden="1">
      <c r="A55" s="15" t="str">
        <f>Неделя!A55</f>
        <v>Жизнь март пролетарская -180</v>
      </c>
      <c r="B55" s="15">
        <f>Неделя!B55</f>
        <v>2.0699999999999998</v>
      </c>
      <c r="C55" s="15">
        <f>Неделя!C55</f>
        <v>1</v>
      </c>
      <c r="D55" s="15">
        <f>Неделя!D55</f>
        <v>0</v>
      </c>
      <c r="E55" s="15">
        <f>Неделя!E55</f>
        <v>0</v>
      </c>
      <c r="F55" s="15">
        <f>Неделя!F55</f>
        <v>0</v>
      </c>
      <c r="G55" s="15">
        <f>Неделя!G55</f>
        <v>0</v>
      </c>
      <c r="H55" s="15">
        <f>Неделя!M55</f>
        <v>0</v>
      </c>
    </row>
    <row r="56" spans="1:8" hidden="1">
      <c r="A56" s="15" t="str">
        <f>Неделя!A56</f>
        <v>инвитро красина-3х150 новые</v>
      </c>
      <c r="B56" s="15">
        <f>Неделя!B56</f>
        <v>3.8249999999999997</v>
      </c>
      <c r="C56" s="15">
        <f>Неделя!C56</f>
        <v>0</v>
      </c>
      <c r="D56" s="15">
        <f>Неделя!D56</f>
        <v>3</v>
      </c>
      <c r="E56" s="15">
        <f>Неделя!E56</f>
        <v>0</v>
      </c>
      <c r="F56" s="15">
        <f>Неделя!F56</f>
        <v>0</v>
      </c>
      <c r="G56" s="15">
        <f>Неделя!G56</f>
        <v>0</v>
      </c>
      <c r="H56" s="15">
        <f>Неделя!M56</f>
        <v>0</v>
      </c>
    </row>
    <row r="57" spans="1:8">
      <c r="A57" s="15" t="str">
        <f>Неделя!A57</f>
        <v>Инвитро ленина-2х150 новые стелим на себя</v>
      </c>
      <c r="B57" s="15">
        <f>Неделя!B57</f>
        <v>2.5499999999999998</v>
      </c>
      <c r="C57" s="15">
        <f>Неделя!C57</f>
        <v>0</v>
      </c>
      <c r="D57" s="15">
        <f>Неделя!D57</f>
        <v>2</v>
      </c>
      <c r="E57" s="15">
        <f>Неделя!E57</f>
        <v>0</v>
      </c>
      <c r="F57" s="15">
        <f>Неделя!F57</f>
        <v>0</v>
      </c>
      <c r="G57" s="15">
        <f>Неделя!G57</f>
        <v>0</v>
      </c>
      <c r="H57" s="15">
        <f>Неделя!M57</f>
        <v>1</v>
      </c>
    </row>
    <row r="58" spans="1:8" hidden="1">
      <c r="A58" s="15" t="str">
        <f>Неделя!A58</f>
        <v>Курган Доставка</v>
      </c>
      <c r="B58" s="15">
        <f>Неделя!B58</f>
        <v>1.2749999999999999</v>
      </c>
      <c r="C58" s="15">
        <f>Неделя!C58</f>
        <v>0</v>
      </c>
      <c r="D58" s="15">
        <f>Неделя!D58</f>
        <v>1</v>
      </c>
      <c r="E58" s="15">
        <f>Неделя!E58</f>
        <v>0</v>
      </c>
      <c r="F58" s="15">
        <f>Неделя!F58</f>
        <v>0</v>
      </c>
      <c r="G58" s="15">
        <f>Неделя!G58</f>
        <v>0</v>
      </c>
      <c r="H58" s="15">
        <f>Неделя!M58</f>
        <v>0</v>
      </c>
    </row>
    <row r="59" spans="1:8" hidden="1">
      <c r="A59" s="15" t="str">
        <f>Неделя!A59</f>
        <v>Летуаль 180</v>
      </c>
      <c r="B59" s="15">
        <f>Неделя!B59</f>
        <v>2.0699999999999998</v>
      </c>
      <c r="C59" s="15">
        <f>Неделя!C59</f>
        <v>1</v>
      </c>
      <c r="D59" s="15">
        <f>Неделя!D59</f>
        <v>0</v>
      </c>
      <c r="E59" s="15">
        <f>Неделя!E59</f>
        <v>0</v>
      </c>
      <c r="F59" s="15">
        <f>Неделя!F59</f>
        <v>0</v>
      </c>
      <c r="G59" s="15">
        <f>Неделя!G59</f>
        <v>0</v>
      </c>
      <c r="H59" s="15">
        <f>Неделя!M59</f>
        <v>0</v>
      </c>
    </row>
    <row r="60" spans="1:8">
      <c r="A60" s="15" t="str">
        <f>Неделя!A60</f>
        <v>М.горького 40  180*2</v>
      </c>
      <c r="B60" s="15">
        <f>Неделя!B60</f>
        <v>4.1399999999999997</v>
      </c>
      <c r="C60" s="15">
        <f>Неделя!C60</f>
        <v>2</v>
      </c>
      <c r="D60" s="15">
        <f>Неделя!D60</f>
        <v>0</v>
      </c>
      <c r="E60" s="15">
        <f>Неделя!E60</f>
        <v>0</v>
      </c>
      <c r="F60" s="15">
        <f>Неделя!F60</f>
        <v>0</v>
      </c>
      <c r="G60" s="15">
        <f>Неделя!G60</f>
        <v>0</v>
      </c>
      <c r="H60" s="15">
        <f>Неделя!M60</f>
        <v>1</v>
      </c>
    </row>
    <row r="61" spans="1:8">
      <c r="A61" s="15" t="str">
        <f>Неделя!A61</f>
        <v>Магнит Володарского 180 </v>
      </c>
      <c r="B61" s="15">
        <f>Неделя!B61</f>
        <v>2.0699999999999998</v>
      </c>
      <c r="C61" s="15">
        <f>Неделя!C61</f>
        <v>1</v>
      </c>
      <c r="D61" s="15">
        <f>Неделя!D61</f>
        <v>0</v>
      </c>
      <c r="E61" s="15">
        <f>Неделя!E61</f>
        <v>0</v>
      </c>
      <c r="F61" s="15">
        <f>Неделя!F61</f>
        <v>0</v>
      </c>
      <c r="G61" s="15">
        <f>Неделя!G61</f>
        <v>0</v>
      </c>
      <c r="H61" s="15">
        <f>Неделя!M61</f>
        <v>1</v>
      </c>
    </row>
    <row r="62" spans="1:8" hidden="1">
      <c r="A62" s="15" t="str">
        <f>Неделя!A62</f>
        <v>Магнит гоголя 38-180</v>
      </c>
      <c r="B62" s="15">
        <f>Неделя!B62</f>
        <v>2.0699999999999998</v>
      </c>
      <c r="C62" s="15">
        <f>Неделя!C62</f>
        <v>1</v>
      </c>
      <c r="D62" s="15">
        <f>Неделя!D62</f>
        <v>0</v>
      </c>
      <c r="E62" s="15">
        <f>Неделя!E62</f>
        <v>0</v>
      </c>
      <c r="F62" s="15">
        <f>Неделя!F62</f>
        <v>0</v>
      </c>
      <c r="G62" s="15">
        <f>Неделя!G62</f>
        <v>0</v>
      </c>
      <c r="H62" s="15">
        <f>Неделя!M62</f>
        <v>0</v>
      </c>
    </row>
    <row r="63" spans="1:8" hidden="1">
      <c r="A63" s="15" t="str">
        <f>Неделя!A63</f>
        <v>Магнит гоголя 66-180</v>
      </c>
      <c r="B63" s="15">
        <f>Неделя!B63</f>
        <v>2.0699999999999998</v>
      </c>
      <c r="C63" s="15">
        <f>Неделя!C63</f>
        <v>1</v>
      </c>
      <c r="D63" s="15">
        <f>Неделя!D63</f>
        <v>0</v>
      </c>
      <c r="E63" s="15">
        <f>Неделя!E63</f>
        <v>0</v>
      </c>
      <c r="F63" s="15">
        <f>Неделя!F63</f>
        <v>0</v>
      </c>
      <c r="G63" s="15">
        <f>Неделя!G63</f>
        <v>0</v>
      </c>
      <c r="H63" s="15">
        <f>Неделя!M63</f>
        <v>0</v>
      </c>
    </row>
    <row r="64" spans="1:8" hidden="1">
      <c r="A64" s="15" t="str">
        <f>Неделя!A64</f>
        <v>Магнит Гоголя 76 180</v>
      </c>
      <c r="B64" s="15">
        <f>Неделя!B64</f>
        <v>2.0699999999999998</v>
      </c>
      <c r="C64" s="15">
        <f>Неделя!C64</f>
        <v>1</v>
      </c>
      <c r="D64" s="15">
        <f>Неделя!D64</f>
        <v>0</v>
      </c>
      <c r="E64" s="15">
        <f>Неделя!E64</f>
        <v>0</v>
      </c>
      <c r="F64" s="15">
        <f>Неделя!F64</f>
        <v>0</v>
      </c>
      <c r="G64" s="15">
        <f>Неделя!G64</f>
        <v>0</v>
      </c>
      <c r="H64" s="15">
        <f>Неделя!M64</f>
        <v>0</v>
      </c>
    </row>
    <row r="65" spans="1:8">
      <c r="A65" s="15" t="str">
        <f>Неделя!A65</f>
        <v>Магнит К.маркса 180</v>
      </c>
      <c r="B65" s="15">
        <f>Неделя!B65</f>
        <v>2.0699999999999998</v>
      </c>
      <c r="C65" s="15">
        <f>Неделя!C65</f>
        <v>1</v>
      </c>
      <c r="D65" s="15">
        <f>Неделя!D65</f>
        <v>0</v>
      </c>
      <c r="E65" s="15">
        <f>Неделя!E65</f>
        <v>0</v>
      </c>
      <c r="F65" s="15">
        <f>Неделя!F65</f>
        <v>0</v>
      </c>
      <c r="G65" s="15">
        <f>Неделя!G65</f>
        <v>0</v>
      </c>
      <c r="H65" s="15">
        <f>Неделя!M65</f>
        <v>1</v>
      </c>
    </row>
    <row r="66" spans="1:8">
      <c r="A66" s="15" t="str">
        <f>Неделя!A66</f>
        <v>магнит красина 180</v>
      </c>
      <c r="B66" s="15">
        <f>Неделя!B66</f>
        <v>2.0699999999999998</v>
      </c>
      <c r="C66" s="15">
        <f>Неделя!C66</f>
        <v>1</v>
      </c>
      <c r="D66" s="15">
        <f>Неделя!D66</f>
        <v>0</v>
      </c>
      <c r="E66" s="15">
        <f>Неделя!E66</f>
        <v>0</v>
      </c>
      <c r="F66" s="15">
        <f>Неделя!F66</f>
        <v>0</v>
      </c>
      <c r="G66" s="15">
        <f>Неделя!G66</f>
        <v>0</v>
      </c>
      <c r="H66" s="15">
        <f>Неделя!M66</f>
        <v>1</v>
      </c>
    </row>
    <row r="67" spans="1:8" hidden="1">
      <c r="A67" s="15" t="str">
        <f>Неделя!A67</f>
        <v>Магнит советская 39 180</v>
      </c>
      <c r="B67" s="15">
        <f>Неделя!B67</f>
        <v>2.0699999999999998</v>
      </c>
      <c r="C67" s="15">
        <f>Неделя!C67</f>
        <v>1</v>
      </c>
      <c r="D67" s="15">
        <f>Неделя!D67</f>
        <v>0</v>
      </c>
      <c r="E67" s="15">
        <f>Неделя!E67</f>
        <v>0</v>
      </c>
      <c r="F67" s="15">
        <f>Неделя!F67</f>
        <v>0</v>
      </c>
      <c r="G67" s="15">
        <f>Неделя!G67</f>
        <v>0</v>
      </c>
      <c r="H67" s="15">
        <f>Неделя!M67</f>
        <v>0</v>
      </c>
    </row>
    <row r="68" spans="1:8" hidden="1">
      <c r="A68" s="15" t="str">
        <f>Неделя!A68</f>
        <v>Магнит советская 40 180</v>
      </c>
      <c r="B68" s="15">
        <f>Неделя!B68</f>
        <v>2.0699999999999998</v>
      </c>
      <c r="C68" s="15">
        <f>Неделя!C68</f>
        <v>1</v>
      </c>
      <c r="D68" s="15">
        <f>Неделя!D68</f>
        <v>0</v>
      </c>
      <c r="E68" s="15">
        <f>Неделя!E68</f>
        <v>0</v>
      </c>
      <c r="F68" s="15">
        <f>Неделя!F68</f>
        <v>0</v>
      </c>
      <c r="G68" s="15">
        <f>Неделя!G68</f>
        <v>0</v>
      </c>
      <c r="H68" s="15">
        <f>Неделя!M68</f>
        <v>0</v>
      </c>
    </row>
    <row r="69" spans="1:8">
      <c r="A69" s="15" t="str">
        <f>Неделя!A69</f>
        <v>Мегафон советская 2х150 рез</v>
      </c>
      <c r="B69" s="15">
        <f>Неделя!B69</f>
        <v>2.5499999999999998</v>
      </c>
      <c r="C69" s="15">
        <f>Неделя!C69</f>
        <v>0</v>
      </c>
      <c r="D69" s="15">
        <f>Неделя!D69</f>
        <v>2</v>
      </c>
      <c r="E69" s="15">
        <f>Неделя!E69</f>
        <v>0</v>
      </c>
      <c r="F69" s="15">
        <f>Неделя!F69</f>
        <v>0</v>
      </c>
      <c r="G69" s="15">
        <f>Неделя!G69</f>
        <v>0</v>
      </c>
      <c r="H69" s="15">
        <f>Неделя!M69</f>
        <v>1</v>
      </c>
    </row>
    <row r="70" spans="1:8" hidden="1">
      <c r="A70" s="15">
        <f>Неделя!A70</f>
        <v>0</v>
      </c>
      <c r="B70" s="15">
        <f>Неделя!B70</f>
        <v>0</v>
      </c>
      <c r="C70" s="15">
        <f>Неделя!C70</f>
        <v>0</v>
      </c>
      <c r="D70" s="15">
        <f>Неделя!D70</f>
        <v>0</v>
      </c>
      <c r="E70" s="15">
        <f>Неделя!E70</f>
        <v>0</v>
      </c>
      <c r="F70" s="15">
        <f>Неделя!F70</f>
        <v>0</v>
      </c>
      <c r="G70" s="15">
        <f>Неделя!G70</f>
        <v>0</v>
      </c>
      <c r="H70" s="15">
        <f>Неделя!M70</f>
        <v>0</v>
      </c>
    </row>
    <row r="71" spans="1:8" hidden="1">
      <c r="A71" s="15" t="str">
        <f>Неделя!A71</f>
        <v>мтс гоголя 53 - 180серый 1</v>
      </c>
      <c r="B71" s="15">
        <f>Неделя!B71</f>
        <v>2.0699999999999998</v>
      </c>
      <c r="C71" s="15">
        <f>Неделя!C71</f>
        <v>1</v>
      </c>
      <c r="D71" s="15">
        <f>Неделя!D71</f>
        <v>0</v>
      </c>
      <c r="E71" s="15">
        <f>Неделя!E71</f>
        <v>0</v>
      </c>
      <c r="F71" s="15">
        <f>Неделя!F71</f>
        <v>0</v>
      </c>
      <c r="G71" s="15">
        <f>Неделя!G71</f>
        <v>0</v>
      </c>
      <c r="H71" s="15">
        <f>Неделя!M71</f>
        <v>0</v>
      </c>
    </row>
    <row r="72" spans="1:8" hidden="1">
      <c r="A72" s="15" t="str">
        <f>Неделя!A72</f>
        <v>МТС Пушкина 150</v>
      </c>
      <c r="B72" s="15">
        <f>Неделя!B72</f>
        <v>1.2749999999999999</v>
      </c>
      <c r="C72" s="15">
        <f>Неделя!C72</f>
        <v>0</v>
      </c>
      <c r="D72" s="15">
        <f>Неделя!D72</f>
        <v>0</v>
      </c>
      <c r="E72" s="15">
        <f>Неделя!E72</f>
        <v>0</v>
      </c>
      <c r="F72" s="15">
        <f>Неделя!F72</f>
        <v>0</v>
      </c>
      <c r="G72" s="15">
        <f>Неделя!G72</f>
        <v>0</v>
      </c>
      <c r="H72" s="15">
        <f>Неделя!M72</f>
        <v>0</v>
      </c>
    </row>
    <row r="73" spans="1:8">
      <c r="A73" s="15" t="str">
        <f>Неделя!A73</f>
        <v>мтс Пушкина 167- 150</v>
      </c>
      <c r="B73" s="15">
        <f>Неделя!B73</f>
        <v>1.2749999999999999</v>
      </c>
      <c r="C73" s="15">
        <f>Неделя!C73</f>
        <v>0</v>
      </c>
      <c r="D73" s="15">
        <f>Неделя!D73</f>
        <v>1</v>
      </c>
      <c r="E73" s="15">
        <f>Неделя!E73</f>
        <v>0</v>
      </c>
      <c r="F73" s="15">
        <f>Неделя!F73</f>
        <v>0</v>
      </c>
      <c r="G73" s="15">
        <f>Неделя!G73</f>
        <v>0</v>
      </c>
      <c r="H73" s="15">
        <f>Неделя!M73</f>
        <v>1</v>
      </c>
    </row>
    <row r="74" spans="1:8">
      <c r="A74" s="15" t="str">
        <f>Неделя!A74</f>
        <v>Промсвязь банк 150,180</v>
      </c>
      <c r="B74" s="15">
        <f>Неделя!B74</f>
        <v>3.3449999999999998</v>
      </c>
      <c r="C74" s="15">
        <f>Неделя!C74</f>
        <v>1</v>
      </c>
      <c r="D74" s="15">
        <f>Неделя!D74</f>
        <v>1</v>
      </c>
      <c r="E74" s="15">
        <f>Неделя!E74</f>
        <v>0</v>
      </c>
      <c r="F74" s="15">
        <f>Неделя!F74</f>
        <v>0</v>
      </c>
      <c r="G74" s="15">
        <f>Неделя!G74</f>
        <v>0</v>
      </c>
      <c r="H74" s="15">
        <f>Неделя!M74</f>
        <v>1</v>
      </c>
    </row>
    <row r="75" spans="1:8">
      <c r="A75" s="15" t="str">
        <f>Неделя!A75</f>
        <v>Ресторан СОЛО Куйбышева</v>
      </c>
      <c r="B75" s="15">
        <f>Неделя!B75</f>
        <v>1.2569999999999999</v>
      </c>
      <c r="C75" s="15">
        <f>Неделя!C75</f>
        <v>0</v>
      </c>
      <c r="D75" s="15">
        <f>Неделя!D75</f>
        <v>1</v>
      </c>
      <c r="E75" s="15">
        <f>Неделя!E75</f>
        <v>0</v>
      </c>
      <c r="F75" s="15">
        <f>Неделя!F75</f>
        <v>0</v>
      </c>
      <c r="G75" s="15">
        <f>Неделя!G75</f>
        <v>0</v>
      </c>
      <c r="H75" s="15">
        <f>Неделя!M75</f>
        <v>1</v>
      </c>
    </row>
    <row r="76" spans="1:8" hidden="1">
      <c r="A76" s="15" t="str">
        <f>Неделя!A76</f>
        <v>Теле2 гоголя-150 резаный</v>
      </c>
      <c r="B76" s="15">
        <f>Неделя!B76</f>
        <v>1.2749999999999999</v>
      </c>
      <c r="C76" s="15">
        <f>Неделя!C76</f>
        <v>0</v>
      </c>
      <c r="D76" s="15">
        <f>Неделя!D76</f>
        <v>1</v>
      </c>
      <c r="E76" s="15">
        <f>Неделя!E76</f>
        <v>0</v>
      </c>
      <c r="F76" s="15">
        <f>Неделя!F76</f>
        <v>0</v>
      </c>
      <c r="G76" s="15">
        <f>Неделя!G76</f>
        <v>0</v>
      </c>
      <c r="H76" s="15">
        <f>Неделя!M76</f>
        <v>0</v>
      </c>
    </row>
    <row r="77" spans="1:8">
      <c r="A77" s="15" t="str">
        <f>Неделя!A77</f>
        <v>Томография К. маркса</v>
      </c>
      <c r="B77" s="15">
        <f>Неделя!B77</f>
        <v>1.2749999999999999</v>
      </c>
      <c r="C77" s="15">
        <f>Неделя!C77</f>
        <v>0</v>
      </c>
      <c r="D77" s="15">
        <f>Неделя!D77</f>
        <v>1</v>
      </c>
      <c r="E77" s="15">
        <f>Неделя!E77</f>
        <v>0</v>
      </c>
      <c r="F77" s="15">
        <f>Неделя!F77</f>
        <v>0</v>
      </c>
      <c r="G77" s="15">
        <f>Неделя!G77</f>
        <v>0</v>
      </c>
      <c r="H77" s="15">
        <f>Неделя!M77</f>
        <v>1</v>
      </c>
    </row>
    <row r="78" spans="1:8">
      <c r="A78" s="15" t="str">
        <f>Неделя!A78</f>
        <v>Фикс прайс к.мяготина 180*2</v>
      </c>
      <c r="B78" s="15">
        <f>Неделя!B78</f>
        <v>4.1399999999999997</v>
      </c>
      <c r="C78" s="15">
        <f>Неделя!C78</f>
        <v>2</v>
      </c>
      <c r="D78" s="15">
        <f>Неделя!D78</f>
        <v>0</v>
      </c>
      <c r="E78" s="15">
        <f>Неделя!E78</f>
        <v>0</v>
      </c>
      <c r="F78" s="15">
        <f>Неделя!F78</f>
        <v>0</v>
      </c>
      <c r="G78" s="15">
        <f>Неделя!G78</f>
        <v>0</v>
      </c>
      <c r="H78" s="15">
        <f>Неделя!M78</f>
        <v>1</v>
      </c>
    </row>
    <row r="79" spans="1:8" hidden="1">
      <c r="A79" s="15">
        <f>Неделя!A79</f>
        <v>0</v>
      </c>
      <c r="B79" s="15">
        <f>Неделя!B79</f>
        <v>0</v>
      </c>
      <c r="C79" s="15">
        <f>Неделя!C79</f>
        <v>0</v>
      </c>
      <c r="D79" s="15">
        <f>Неделя!D79</f>
        <v>0</v>
      </c>
      <c r="E79" s="15">
        <f>Неделя!E79</f>
        <v>0</v>
      </c>
      <c r="F79" s="15">
        <f>Неделя!F79</f>
        <v>0</v>
      </c>
      <c r="G79" s="15">
        <f>Неделя!G79</f>
        <v>0</v>
      </c>
      <c r="H79" s="15">
        <f>Неделя!M79</f>
        <v>0</v>
      </c>
    </row>
    <row r="80" spans="1:8" hidden="1">
      <c r="A80" s="15" t="str">
        <f>Неделя!A80</f>
        <v>Фикс советска40-2х180</v>
      </c>
      <c r="B80" s="15">
        <f>Неделя!B80</f>
        <v>4.1399999999999997</v>
      </c>
      <c r="C80" s="15">
        <f>Неделя!C80</f>
        <v>2</v>
      </c>
      <c r="D80" s="15">
        <f>Неделя!D80</f>
        <v>0</v>
      </c>
      <c r="E80" s="15">
        <f>Неделя!E80</f>
        <v>0</v>
      </c>
      <c r="F80" s="15">
        <f>Неделя!F80</f>
        <v>0</v>
      </c>
      <c r="G80" s="15">
        <f>Неделя!G80</f>
        <v>0</v>
      </c>
      <c r="H80" s="15">
        <f>Неделя!M80</f>
        <v>0</v>
      </c>
    </row>
    <row r="81" spans="1:8" hidden="1">
      <c r="A81" s="15" t="str">
        <f>Неделя!A81</f>
        <v>Чистый квартал 150, 80х80</v>
      </c>
      <c r="B81" s="15">
        <f>Неделя!B81</f>
        <v>2.5499999999999998</v>
      </c>
      <c r="C81" s="15">
        <f>Неделя!C81</f>
        <v>0</v>
      </c>
      <c r="D81" s="15">
        <f>Неделя!D81</f>
        <v>1</v>
      </c>
      <c r="E81" s="15">
        <f>Неделя!E81</f>
        <v>1</v>
      </c>
      <c r="F81" s="15">
        <f>Неделя!F81</f>
        <v>0</v>
      </c>
      <c r="G81" s="15">
        <f>Неделя!G81</f>
        <v>0</v>
      </c>
      <c r="H81" s="15">
        <f>Неделя!M81</f>
        <v>1</v>
      </c>
    </row>
    <row r="82" spans="1:8" hidden="1">
      <c r="A82" s="15" t="str">
        <f>Неделя!A82</f>
        <v>Япоки гоголя-180</v>
      </c>
      <c r="B82" s="15">
        <f>Неделя!B82</f>
        <v>2.0699999999999998</v>
      </c>
      <c r="C82" s="15">
        <f>Неделя!C82</f>
        <v>1</v>
      </c>
      <c r="D82" s="15">
        <f>Неделя!D82</f>
        <v>0</v>
      </c>
      <c r="E82" s="15">
        <f>Неделя!E82</f>
        <v>0</v>
      </c>
      <c r="F82" s="15">
        <f>Неделя!F82</f>
        <v>0</v>
      </c>
      <c r="G82" s="15">
        <f>Неделя!G82</f>
        <v>0</v>
      </c>
      <c r="H82" s="15">
        <f>Неделя!M82</f>
        <v>0</v>
      </c>
    </row>
    <row r="83" spans="1:8" hidden="1">
      <c r="A83" s="15" t="str">
        <f>Неделя!A83</f>
        <v>4 сезона ленина-180</v>
      </c>
      <c r="B83" s="15">
        <f>Неделя!B83</f>
        <v>2.0699999999999998</v>
      </c>
      <c r="C83" s="15">
        <f>Неделя!C83</f>
        <v>1</v>
      </c>
      <c r="D83" s="15">
        <f>Неделя!D83</f>
        <v>0</v>
      </c>
      <c r="E83" s="15">
        <f>Неделя!E83</f>
        <v>0</v>
      </c>
      <c r="F83" s="15">
        <f>Неделя!F83</f>
        <v>0</v>
      </c>
      <c r="G83" s="15">
        <f>Неделя!G83</f>
        <v>0</v>
      </c>
      <c r="H83" s="15">
        <f>Неделя!M83</f>
        <v>0</v>
      </c>
    </row>
    <row r="84" spans="1:8" hidden="1">
      <c r="A84" s="15" t="str">
        <f>Неделя!A84</f>
        <v>Александрит 150 рез </v>
      </c>
      <c r="B84" s="15">
        <f>Неделя!B84</f>
        <v>1.2749999999999999</v>
      </c>
      <c r="C84" s="15">
        <f>Неделя!C84</f>
        <v>0</v>
      </c>
      <c r="D84" s="15">
        <f>Неделя!D84</f>
        <v>1</v>
      </c>
      <c r="E84" s="15">
        <f>Неделя!E84</f>
        <v>0</v>
      </c>
      <c r="F84" s="15">
        <f>Неделя!F84</f>
        <v>0</v>
      </c>
      <c r="G84" s="15">
        <f>Неделя!G84</f>
        <v>0</v>
      </c>
      <c r="H84" s="15">
        <f>Неделя!M84</f>
        <v>0</v>
      </c>
    </row>
    <row r="85" spans="1:8" hidden="1">
      <c r="A85" s="15" t="str">
        <f>Неделя!A85</f>
        <v>Алеф-банк 150 НОЯБРЬ </v>
      </c>
      <c r="B85" s="15">
        <f>Неделя!B85</f>
        <v>1.2749999999999999</v>
      </c>
      <c r="C85" s="15">
        <f>Неделя!C85</f>
        <v>0</v>
      </c>
      <c r="D85" s="15">
        <f>Неделя!D85</f>
        <v>1</v>
      </c>
      <c r="E85" s="15">
        <f>Неделя!E85</f>
        <v>0</v>
      </c>
      <c r="F85" s="15">
        <f>Неделя!F85</f>
        <v>0</v>
      </c>
      <c r="G85" s="15">
        <f>Неделя!G85</f>
        <v>0</v>
      </c>
      <c r="H85" s="15">
        <f>Неделя!M85</f>
        <v>0</v>
      </c>
    </row>
    <row r="86" spans="1:8" hidden="1">
      <c r="A86" s="15" t="str">
        <f>Неделя!A86</f>
        <v>Альфастрахование 2х180</v>
      </c>
      <c r="B86" s="15">
        <f>Неделя!B86</f>
        <v>4.1399999999999997</v>
      </c>
      <c r="C86" s="15">
        <f>Неделя!C86</f>
        <v>2</v>
      </c>
      <c r="D86" s="15">
        <f>Неделя!D86</f>
        <v>0</v>
      </c>
      <c r="E86" s="15">
        <f>Неделя!E86</f>
        <v>0</v>
      </c>
      <c r="F86" s="15">
        <f>Неделя!F86</f>
        <v>0</v>
      </c>
      <c r="G86" s="15">
        <f>Неделя!G86</f>
        <v>0</v>
      </c>
      <c r="H86" s="15">
        <f>Неделя!M86</f>
        <v>0</v>
      </c>
    </row>
    <row r="87" spans="1:8" hidden="1">
      <c r="A87" s="15" t="str">
        <f>Неделя!A87</f>
        <v>Аптека советская ленина 150</v>
      </c>
      <c r="B87" s="15">
        <f>Неделя!B87</f>
        <v>1.2749999999999999</v>
      </c>
      <c r="C87" s="15">
        <f>Неделя!C87</f>
        <v>0</v>
      </c>
      <c r="D87" s="15">
        <f>Неделя!D87</f>
        <v>1</v>
      </c>
      <c r="E87" s="15">
        <f>Неделя!E87</f>
        <v>0</v>
      </c>
      <c r="F87" s="15">
        <f>Неделя!F87</f>
        <v>0</v>
      </c>
      <c r="G87" s="15">
        <f>Неделя!G87</f>
        <v>0</v>
      </c>
      <c r="H87" s="15">
        <f>Неделя!M87</f>
        <v>0</v>
      </c>
    </row>
    <row r="88" spans="1:8" hidden="1">
      <c r="A88" s="15" t="str">
        <f>Неделя!A88</f>
        <v>Баден Ленина-200 старый</v>
      </c>
      <c r="B88" s="15">
        <f>Неделя!B88</f>
        <v>2.0699999999999998</v>
      </c>
      <c r="C88" s="15">
        <f>Неделя!C88</f>
        <v>1</v>
      </c>
      <c r="D88" s="15">
        <f>Неделя!D88</f>
        <v>0</v>
      </c>
      <c r="E88" s="15">
        <f>Неделя!E88</f>
        <v>0</v>
      </c>
      <c r="F88" s="15">
        <f>Неделя!F88</f>
        <v>0</v>
      </c>
      <c r="G88" s="15">
        <f>Неделя!G88</f>
        <v>0</v>
      </c>
      <c r="H88" s="15">
        <f>Неделя!M88</f>
        <v>0</v>
      </c>
    </row>
    <row r="89" spans="1:8" hidden="1">
      <c r="A89" s="15">
        <f>Неделя!A89</f>
        <v>0</v>
      </c>
      <c r="B89" s="15">
        <f>Неделя!B89</f>
        <v>0</v>
      </c>
      <c r="C89" s="15">
        <f>Неделя!C89</f>
        <v>0</v>
      </c>
      <c r="D89" s="15">
        <f>Неделя!D89</f>
        <v>0</v>
      </c>
      <c r="E89" s="15">
        <f>Неделя!E89</f>
        <v>0</v>
      </c>
      <c r="F89" s="15">
        <f>Неделя!F89</f>
        <v>0</v>
      </c>
      <c r="G89" s="15">
        <f>Неделя!G89</f>
        <v>0</v>
      </c>
      <c r="H89" s="15">
        <f>Неделя!M89</f>
        <v>0</v>
      </c>
    </row>
    <row r="90" spans="1:8" hidden="1">
      <c r="A90" s="15" t="str">
        <f>Неделя!A90</f>
        <v>Банк курган Гоголя 180 </v>
      </c>
      <c r="B90" s="15">
        <f>Неделя!B90</f>
        <v>2.0699999999999998</v>
      </c>
      <c r="C90" s="15">
        <f>Неделя!C90</f>
        <v>1</v>
      </c>
      <c r="D90" s="15">
        <f>Неделя!D90</f>
        <v>0</v>
      </c>
      <c r="E90" s="15">
        <f>Неделя!E90</f>
        <v>0</v>
      </c>
      <c r="F90" s="15">
        <f>Неделя!F90</f>
        <v>0</v>
      </c>
      <c r="G90" s="15">
        <f>Неделя!G90</f>
        <v>0</v>
      </c>
      <c r="H90" s="15">
        <f>Неделя!M90</f>
        <v>0</v>
      </c>
    </row>
    <row r="91" spans="1:8" hidden="1">
      <c r="A91" s="15" t="str">
        <f>Неделя!A91</f>
        <v>Банк курган площадь 150 сер. 1шт. </v>
      </c>
      <c r="B91" s="15">
        <f>Неделя!B91</f>
        <v>1.2749999999999999</v>
      </c>
      <c r="C91" s="15">
        <f>Неделя!C91</f>
        <v>0</v>
      </c>
      <c r="D91" s="15">
        <f>Неделя!D91</f>
        <v>1</v>
      </c>
      <c r="E91" s="15">
        <f>Неделя!E91</f>
        <v>0</v>
      </c>
      <c r="F91" s="15">
        <f>Неделя!F91</f>
        <v>0</v>
      </c>
      <c r="G91" s="15">
        <f>Неделя!G91</f>
        <v>0</v>
      </c>
      <c r="H91" s="15">
        <f>Неделя!M91</f>
        <v>0</v>
      </c>
    </row>
    <row r="92" spans="1:8" hidden="1">
      <c r="A92" s="15" t="str">
        <f>Неделя!A92</f>
        <v>Банк России 150   2шт</v>
      </c>
      <c r="B92" s="15">
        <f>Неделя!B92</f>
        <v>2.5499999999999998</v>
      </c>
      <c r="C92" s="15">
        <f>Неделя!C92</f>
        <v>0</v>
      </c>
      <c r="D92" s="15">
        <f>Неделя!D92</f>
        <v>0</v>
      </c>
      <c r="E92" s="15">
        <f>Неделя!E92</f>
        <v>0</v>
      </c>
      <c r="F92" s="15">
        <f>Неделя!F92</f>
        <v>1</v>
      </c>
      <c r="G92" s="15">
        <f>Неделя!G92</f>
        <v>0</v>
      </c>
      <c r="H92" s="15">
        <f>Неделя!M92</f>
        <v>0</v>
      </c>
    </row>
    <row r="93" spans="1:8">
      <c r="A93" s="15" t="str">
        <f>Неделя!A93</f>
        <v>Бенетон 150</v>
      </c>
      <c r="B93" s="15">
        <f>Неделя!B93</f>
        <v>1.2749999999999999</v>
      </c>
      <c r="C93" s="15">
        <f>Неделя!C93</f>
        <v>0</v>
      </c>
      <c r="D93" s="15">
        <f>Неделя!D93</f>
        <v>1</v>
      </c>
      <c r="E93" s="15">
        <f>Неделя!E93</f>
        <v>0</v>
      </c>
      <c r="F93" s="15">
        <f>Неделя!F93</f>
        <v>0</v>
      </c>
      <c r="G93" s="15">
        <f>Неделя!G93</f>
        <v>0</v>
      </c>
      <c r="H93" s="15">
        <f>Неделя!M93</f>
        <v>1</v>
      </c>
    </row>
    <row r="94" spans="1:8" hidden="1">
      <c r="A94" s="15" t="str">
        <f>Неделя!A94</f>
        <v>Вояж володарская150 сер. 1 шт.нов.</v>
      </c>
      <c r="B94" s="15">
        <f>Неделя!B94</f>
        <v>1.2749999999999999</v>
      </c>
      <c r="C94" s="15">
        <f>Неделя!C94</f>
        <v>0</v>
      </c>
      <c r="D94" s="15">
        <f>Неделя!D94</f>
        <v>1</v>
      </c>
      <c r="E94" s="15">
        <f>Неделя!E94</f>
        <v>0</v>
      </c>
      <c r="F94" s="15">
        <f>Неделя!F94</f>
        <v>0</v>
      </c>
      <c r="G94" s="15">
        <f>Неделя!G94</f>
        <v>0</v>
      </c>
      <c r="H94" s="15">
        <f>Неделя!M94</f>
        <v>0</v>
      </c>
    </row>
    <row r="95" spans="1:8" hidden="1">
      <c r="A95" s="15" t="str">
        <f>Неделя!A95</f>
        <v>Газпроммежрегионгаз Гоголя 98   1x150</v>
      </c>
      <c r="B95" s="15">
        <f>Неделя!B95</f>
        <v>1.2749999999999999</v>
      </c>
      <c r="C95" s="15">
        <f>Неделя!C95</f>
        <v>0</v>
      </c>
      <c r="D95" s="15">
        <f>Неделя!D95</f>
        <v>0</v>
      </c>
      <c r="E95" s="15">
        <f>Неделя!E95</f>
        <v>0</v>
      </c>
      <c r="F95" s="15">
        <f>Неделя!F95</f>
        <v>0</v>
      </c>
      <c r="G95" s="15">
        <f>Неделя!G95</f>
        <v>0</v>
      </c>
      <c r="H95" s="15">
        <f>Неделя!M95</f>
        <v>0</v>
      </c>
    </row>
    <row r="96" spans="1:8" hidden="1">
      <c r="A96" s="15" t="str">
        <f>Неделя!A96</f>
        <v>газпроммежрегионгаз- 5х150</v>
      </c>
      <c r="B96" s="15">
        <f>Неделя!B96</f>
        <v>6.375</v>
      </c>
      <c r="C96" s="15">
        <f>Неделя!C96</f>
        <v>0</v>
      </c>
      <c r="D96" s="15">
        <f>Неделя!D96</f>
        <v>0</v>
      </c>
      <c r="E96" s="15">
        <f>Неделя!E96</f>
        <v>0</v>
      </c>
      <c r="F96" s="15">
        <f>Неделя!F96</f>
        <v>0</v>
      </c>
      <c r="G96" s="15">
        <f>Неделя!G96</f>
        <v>0</v>
      </c>
      <c r="H96" s="15">
        <f>Неделя!M96</f>
        <v>0</v>
      </c>
    </row>
    <row r="97" spans="1:8" hidden="1">
      <c r="A97" s="15" t="str">
        <f>Неделя!A97</f>
        <v>Джинса ленина 150</v>
      </c>
      <c r="B97" s="15">
        <f>Неделя!B97</f>
        <v>1.2749999999999999</v>
      </c>
      <c r="C97" s="15">
        <f>Неделя!C97</f>
        <v>0</v>
      </c>
      <c r="D97" s="15">
        <f>Неделя!D97</f>
        <v>1</v>
      </c>
      <c r="E97" s="15">
        <f>Неделя!E97</f>
        <v>0</v>
      </c>
      <c r="F97" s="15">
        <f>Неделя!F97</f>
        <v>0</v>
      </c>
      <c r="G97" s="15">
        <f>Неделя!G97</f>
        <v>0</v>
      </c>
      <c r="H97" s="15">
        <f>Неделя!M97</f>
        <v>0</v>
      </c>
    </row>
    <row r="98" spans="1:8" hidden="1">
      <c r="A98" s="15" t="str">
        <f>Неделя!A98</f>
        <v>Джулия пролетарская  200 хороший</v>
      </c>
      <c r="B98" s="15">
        <f>Неделя!B98</f>
        <v>2.0699999999999998</v>
      </c>
      <c r="C98" s="15">
        <f>Неделя!C98</f>
        <v>1</v>
      </c>
      <c r="D98" s="15">
        <f>Неделя!D98</f>
        <v>0</v>
      </c>
      <c r="E98" s="15">
        <f>Неделя!E98</f>
        <v>0</v>
      </c>
      <c r="F98" s="15">
        <f>Неделя!F98</f>
        <v>0</v>
      </c>
      <c r="G98" s="15">
        <f>Неделя!G98</f>
        <v>0</v>
      </c>
      <c r="H98" s="15">
        <f>Неделя!M98</f>
        <v>0</v>
      </c>
    </row>
    <row r="99" spans="1:8" hidden="1">
      <c r="A99" s="15" t="str">
        <f>Неделя!A99</f>
        <v>Джулия советская 180 </v>
      </c>
      <c r="B99" s="15">
        <f>Неделя!B99</f>
        <v>2.0699999999999998</v>
      </c>
      <c r="C99" s="15">
        <f>Неделя!C99</f>
        <v>1</v>
      </c>
      <c r="D99" s="15">
        <f>Неделя!D99</f>
        <v>0</v>
      </c>
      <c r="E99" s="15">
        <f>Неделя!E99</f>
        <v>0</v>
      </c>
      <c r="F99" s="15">
        <f>Неделя!F99</f>
        <v>0</v>
      </c>
      <c r="G99" s="15">
        <f>Неделя!G99</f>
        <v>0</v>
      </c>
      <c r="H99" s="15">
        <f>Неделя!M99</f>
        <v>0</v>
      </c>
    </row>
    <row r="100" spans="1:8" hidden="1">
      <c r="A100" s="15" t="str">
        <f>Неделя!A100</f>
        <v>Ив роше Ленина180</v>
      </c>
      <c r="B100" s="15">
        <f>Неделя!B100</f>
        <v>2.0699999999999998</v>
      </c>
      <c r="C100" s="15">
        <f>Неделя!C100</f>
        <v>1</v>
      </c>
      <c r="D100" s="15">
        <f>Неделя!D100</f>
        <v>0</v>
      </c>
      <c r="E100" s="15">
        <f>Неделя!E100</f>
        <v>0</v>
      </c>
      <c r="F100" s="15">
        <f>Неделя!F100</f>
        <v>0</v>
      </c>
      <c r="G100" s="15">
        <f>Неделя!G100</f>
        <v>0</v>
      </c>
      <c r="H100" s="15">
        <f>Неделя!M100</f>
        <v>0</v>
      </c>
    </row>
    <row r="101" spans="1:8" hidden="1">
      <c r="A101" s="15" t="str">
        <f>Неделя!A101</f>
        <v>Ик надежда 150</v>
      </c>
      <c r="B101" s="15">
        <f>Неделя!B101</f>
        <v>1.2749999999999999</v>
      </c>
      <c r="C101" s="15">
        <f>Неделя!C101</f>
        <v>0</v>
      </c>
      <c r="D101" s="15">
        <f>Неделя!D101</f>
        <v>1</v>
      </c>
      <c r="E101" s="15">
        <f>Неделя!E101</f>
        <v>0</v>
      </c>
      <c r="F101" s="15">
        <f>Неделя!F101</f>
        <v>0</v>
      </c>
      <c r="G101" s="15">
        <f>Неделя!G101</f>
        <v>0</v>
      </c>
      <c r="H101" s="15">
        <f>Неделя!M101</f>
        <v>0</v>
      </c>
    </row>
    <row r="102" spans="1:8">
      <c r="A102" s="15" t="str">
        <f>Неделя!A102</f>
        <v>Инвитро пушкина 189-2х150</v>
      </c>
      <c r="B102" s="15">
        <f>Неделя!B102</f>
        <v>1.2749999999999999</v>
      </c>
      <c r="C102" s="15">
        <f>Неделя!C102</f>
        <v>0</v>
      </c>
      <c r="D102" s="15">
        <f>Неделя!D102</f>
        <v>2</v>
      </c>
      <c r="E102" s="15">
        <f>Неделя!E102</f>
        <v>0</v>
      </c>
      <c r="F102" s="15">
        <f>Неделя!F102</f>
        <v>0</v>
      </c>
      <c r="G102" s="15">
        <f>Неделя!G102</f>
        <v>0</v>
      </c>
      <c r="H102" s="15">
        <f>Неделя!M102</f>
        <v>1</v>
      </c>
    </row>
    <row r="103" spans="1:8">
      <c r="A103" s="15" t="str">
        <f>Неделя!A103</f>
        <v>Инвитро юбилейный 180</v>
      </c>
      <c r="B103" s="15">
        <f>Неделя!B103</f>
        <v>2.0699999999999998</v>
      </c>
      <c r="C103" s="15">
        <f>Неделя!C103</f>
        <v>1</v>
      </c>
      <c r="D103" s="15">
        <f>Неделя!D103</f>
        <v>0</v>
      </c>
      <c r="E103" s="15">
        <f>Неделя!E103</f>
        <v>0</v>
      </c>
      <c r="F103" s="15">
        <f>Неделя!F103</f>
        <v>0</v>
      </c>
      <c r="G103" s="15">
        <f>Неделя!G103</f>
        <v>0</v>
      </c>
      <c r="H103" s="15">
        <f>Неделя!M103</f>
        <v>1</v>
      </c>
    </row>
    <row r="104" spans="1:8" hidden="1">
      <c r="A104" s="15" t="str">
        <f>Неделя!A104</f>
        <v>Ингострах 2х150</v>
      </c>
      <c r="B104" s="15">
        <f>Неделя!B104</f>
        <v>2.5499999999999998</v>
      </c>
      <c r="C104" s="15">
        <f>Неделя!C104</f>
        <v>0</v>
      </c>
      <c r="D104" s="15">
        <f>Неделя!D104</f>
        <v>2</v>
      </c>
      <c r="E104" s="15">
        <f>Неделя!E104</f>
        <v>0</v>
      </c>
      <c r="F104" s="15">
        <f>Неделя!F104</f>
        <v>0</v>
      </c>
      <c r="G104" s="15">
        <f>Неделя!G104</f>
        <v>0</v>
      </c>
      <c r="H104" s="15">
        <f>Неделя!M104</f>
        <v>0</v>
      </c>
    </row>
    <row r="105" spans="1:8" hidden="1">
      <c r="A105" s="15" t="str">
        <f>Неделя!A105</f>
        <v>Календарь подарков ленина-180</v>
      </c>
      <c r="B105" s="15">
        <f>Неделя!B105</f>
        <v>2.0699999999999998</v>
      </c>
      <c r="C105" s="15">
        <f>Неделя!C105</f>
        <v>1</v>
      </c>
      <c r="D105" s="15">
        <f>Неделя!D105</f>
        <v>0</v>
      </c>
      <c r="E105" s="15">
        <f>Неделя!E105</f>
        <v>0</v>
      </c>
      <c r="F105" s="15">
        <f>Неделя!F105</f>
        <v>0</v>
      </c>
      <c r="G105" s="15">
        <f>Неделя!G105</f>
        <v>0</v>
      </c>
      <c r="H105" s="15">
        <f>Неделя!M105</f>
        <v>0</v>
      </c>
    </row>
    <row r="106" spans="1:8" hidden="1">
      <c r="A106" s="15" t="str">
        <f>Неделя!A106</f>
        <v>Каменный цветок омская 101 150 нов</v>
      </c>
      <c r="B106" s="15">
        <f>Неделя!B106</f>
        <v>1.2749999999999999</v>
      </c>
      <c r="C106" s="15">
        <f>Неделя!C106</f>
        <v>0</v>
      </c>
      <c r="D106" s="15">
        <f>Неделя!D106</f>
        <v>1</v>
      </c>
      <c r="E106" s="15">
        <f>Неделя!E106</f>
        <v>0</v>
      </c>
      <c r="F106" s="15">
        <f>Неделя!F106</f>
        <v>0</v>
      </c>
      <c r="G106" s="15">
        <f>Неделя!G106</f>
        <v>0</v>
      </c>
      <c r="H106" s="15">
        <f>Неделя!M106</f>
        <v>0</v>
      </c>
    </row>
    <row r="107" spans="1:8" hidden="1">
      <c r="A107" s="15" t="str">
        <f>Неделя!A107</f>
        <v>Карэ гараж К.Маркса 60а    150</v>
      </c>
      <c r="B107" s="15">
        <f>Неделя!B107</f>
        <v>1.2749999999999999</v>
      </c>
      <c r="C107" s="15">
        <f>Неделя!C107</f>
        <v>0</v>
      </c>
      <c r="D107" s="15">
        <f>Неделя!D107</f>
        <v>1</v>
      </c>
      <c r="E107" s="15">
        <f>Неделя!E107</f>
        <v>0</v>
      </c>
      <c r="F107" s="15">
        <f>Неделя!F107</f>
        <v>0</v>
      </c>
      <c r="G107" s="15">
        <f>Неделя!G107</f>
        <v>0</v>
      </c>
      <c r="H107" s="15">
        <f>Неделя!M107</f>
        <v>0</v>
      </c>
    </row>
    <row r="108" spans="1:8" hidden="1">
      <c r="A108" s="15" t="str">
        <f>Неделя!A108</f>
        <v>Карэ гоголя 37 150 нов. кор. </v>
      </c>
      <c r="B108" s="15">
        <f>Неделя!B108</f>
        <v>1.2749999999999999</v>
      </c>
      <c r="C108" s="15">
        <f>Неделя!C108</f>
        <v>0</v>
      </c>
      <c r="D108" s="15">
        <f>Неделя!D108</f>
        <v>1</v>
      </c>
      <c r="E108" s="15">
        <f>Неделя!E108</f>
        <v>0</v>
      </c>
      <c r="F108" s="15">
        <f>Неделя!F108</f>
        <v>0</v>
      </c>
      <c r="G108" s="15">
        <f>Неделя!G108</f>
        <v>0</v>
      </c>
      <c r="H108" s="15">
        <f>Неделя!M108</f>
        <v>0</v>
      </c>
    </row>
    <row r="109" spans="1:8" hidden="1">
      <c r="A109" s="15" t="str">
        <f>Неделя!A109</f>
        <v>Карэ к. Маркса 46 3х150 нов кор</v>
      </c>
      <c r="B109" s="15">
        <f>Неделя!B109</f>
        <v>3.8249999999999997</v>
      </c>
      <c r="C109" s="15">
        <f>Неделя!C109</f>
        <v>0</v>
      </c>
      <c r="D109" s="15">
        <f>Неделя!D109</f>
        <v>3</v>
      </c>
      <c r="E109" s="15">
        <f>Неделя!E109</f>
        <v>0</v>
      </c>
      <c r="F109" s="15">
        <f>Неделя!F109</f>
        <v>0</v>
      </c>
      <c r="G109" s="15">
        <f>Неделя!G109</f>
        <v>0</v>
      </c>
      <c r="H109" s="15">
        <f>Неделя!M109</f>
        <v>0</v>
      </c>
    </row>
    <row r="110" spans="1:8" hidden="1">
      <c r="A110" s="15" t="str">
        <f>Неделя!A110</f>
        <v>Карэ ленина 150 коричневый</v>
      </c>
      <c r="B110" s="15">
        <f>Неделя!B110</f>
        <v>1.2749999999999999</v>
      </c>
      <c r="C110" s="15">
        <f>Неделя!C110</f>
        <v>0</v>
      </c>
      <c r="D110" s="15">
        <f>Неделя!D110</f>
        <v>1</v>
      </c>
      <c r="E110" s="15">
        <f>Неделя!E110</f>
        <v>0</v>
      </c>
      <c r="F110" s="15">
        <f>Неделя!F110</f>
        <v>0</v>
      </c>
      <c r="G110" s="15">
        <f>Неделя!G110</f>
        <v>0</v>
      </c>
      <c r="H110" s="15">
        <f>Неделя!M110</f>
        <v>0</v>
      </c>
    </row>
    <row r="111" spans="1:8" hidden="1">
      <c r="A111" s="15" t="str">
        <f>Неделя!A111</f>
        <v>Комиссоныч юбилейный-150 рез. </v>
      </c>
      <c r="B111" s="15">
        <f>Неделя!B111</f>
        <v>1.2749999999999999</v>
      </c>
      <c r="C111" s="15">
        <f>Неделя!C111</f>
        <v>0</v>
      </c>
      <c r="D111" s="15">
        <f>Неделя!D111</f>
        <v>1</v>
      </c>
      <c r="E111" s="15">
        <f>Неделя!E111</f>
        <v>0</v>
      </c>
      <c r="F111" s="15">
        <f>Неделя!F111</f>
        <v>0</v>
      </c>
      <c r="G111" s="15">
        <f>Неделя!G111</f>
        <v>0</v>
      </c>
      <c r="H111" s="15">
        <f>Неделя!M111</f>
        <v>0</v>
      </c>
    </row>
    <row r="112" spans="1:8" hidden="1">
      <c r="A112" s="15" t="str">
        <f>Неделя!A112</f>
        <v>Консультант + васильева 7 240старый </v>
      </c>
      <c r="B112" s="15">
        <f>Неделя!B112</f>
        <v>2.7</v>
      </c>
      <c r="C112" s="15">
        <f>Неделя!C112</f>
        <v>1</v>
      </c>
      <c r="D112" s="15">
        <f>Неделя!D112</f>
        <v>0</v>
      </c>
      <c r="E112" s="15">
        <f>Неделя!E112</f>
        <v>0</v>
      </c>
      <c r="F112" s="15">
        <f>Неделя!F112</f>
        <v>0</v>
      </c>
      <c r="G112" s="15">
        <f>Неделя!G112</f>
        <v>0</v>
      </c>
      <c r="H112" s="15">
        <f>Неделя!M112</f>
        <v>0</v>
      </c>
    </row>
    <row r="113" spans="1:8" hidden="1">
      <c r="A113" s="15">
        <f>Неделя!A113</f>
        <v>0</v>
      </c>
      <c r="B113" s="15">
        <f>Неделя!B113</f>
        <v>0</v>
      </c>
      <c r="C113" s="15">
        <f>Неделя!C113</f>
        <v>0</v>
      </c>
      <c r="D113" s="15">
        <f>Неделя!D113</f>
        <v>0</v>
      </c>
      <c r="E113" s="15">
        <f>Неделя!E113</f>
        <v>0</v>
      </c>
      <c r="F113" s="15">
        <f>Неделя!F113</f>
        <v>0</v>
      </c>
      <c r="G113" s="15">
        <f>Неделя!G113</f>
        <v>0</v>
      </c>
      <c r="H113" s="15">
        <f>Неделя!M113</f>
        <v>0</v>
      </c>
    </row>
    <row r="114" spans="1:8" hidden="1">
      <c r="A114" s="15">
        <f>Неделя!A114</f>
        <v>0</v>
      </c>
      <c r="B114" s="15">
        <f>Неделя!B114</f>
        <v>0</v>
      </c>
      <c r="C114" s="15">
        <f>Неделя!C114</f>
        <v>0</v>
      </c>
      <c r="D114" s="15">
        <f>Неделя!D114</f>
        <v>0</v>
      </c>
      <c r="E114" s="15">
        <f>Неделя!E114</f>
        <v>0</v>
      </c>
      <c r="F114" s="15">
        <f>Неделя!F114</f>
        <v>0</v>
      </c>
      <c r="G114" s="15">
        <f>Неделя!G114</f>
        <v>0</v>
      </c>
      <c r="H114" s="15">
        <f>Неделя!M114</f>
        <v>0</v>
      </c>
    </row>
    <row r="115" spans="1:8">
      <c r="A115" s="15" t="str">
        <f>Неделя!A115</f>
        <v>Мед центр  космольская 180</v>
      </c>
      <c r="B115" s="15">
        <f>Неделя!B115</f>
        <v>2.0699999999999998</v>
      </c>
      <c r="C115" s="15">
        <f>Неделя!C115</f>
        <v>1</v>
      </c>
      <c r="D115" s="15">
        <f>Неделя!D115</f>
        <v>0</v>
      </c>
      <c r="E115" s="15">
        <f>Неделя!E115</f>
        <v>0</v>
      </c>
      <c r="F115" s="15">
        <f>Неделя!F115</f>
        <v>0</v>
      </c>
      <c r="G115" s="15">
        <f>Неделя!G115</f>
        <v>0</v>
      </c>
      <c r="H115" s="15">
        <f>Неделя!M115</f>
        <v>1</v>
      </c>
    </row>
    <row r="116" spans="1:8" hidden="1">
      <c r="A116" s="15" t="str">
        <f>Неделя!A116</f>
        <v>Мисс т 150 сер, нов. 1шт.</v>
      </c>
      <c r="B116" s="15">
        <f>Неделя!B116</f>
        <v>1.2749999999999999</v>
      </c>
      <c r="C116" s="15">
        <f>Неделя!C116</f>
        <v>0</v>
      </c>
      <c r="D116" s="15">
        <f>Неделя!D116</f>
        <v>1</v>
      </c>
      <c r="E116" s="15">
        <f>Неделя!E116</f>
        <v>0</v>
      </c>
      <c r="F116" s="15">
        <f>Неделя!F116</f>
        <v>0</v>
      </c>
      <c r="G116" s="15">
        <f>Неделя!G116</f>
        <v>0</v>
      </c>
      <c r="H116" s="15">
        <f>Неделя!M116</f>
        <v>0</v>
      </c>
    </row>
    <row r="117" spans="1:8" hidden="1">
      <c r="A117" s="15" t="str">
        <f>Неделя!A117</f>
        <v>Неил хаус 150 новый</v>
      </c>
      <c r="B117" s="15">
        <f>Неделя!B117</f>
        <v>1.2749999999999999</v>
      </c>
      <c r="C117" s="15">
        <f>Неделя!C117</f>
        <v>0</v>
      </c>
      <c r="D117" s="15">
        <f>Неделя!D117</f>
        <v>1</v>
      </c>
      <c r="E117" s="15">
        <f>Неделя!E117</f>
        <v>0</v>
      </c>
      <c r="F117" s="15">
        <f>Неделя!F117</f>
        <v>0</v>
      </c>
      <c r="G117" s="15">
        <f>Неделя!G117</f>
        <v>0</v>
      </c>
      <c r="H117" s="15">
        <f>Неделя!M117</f>
        <v>0</v>
      </c>
    </row>
    <row r="118" spans="1:8" hidden="1">
      <c r="A118" s="15" t="str">
        <f>Неделя!A118</f>
        <v>Обувные ленина-3х150 старые </v>
      </c>
      <c r="B118" s="15">
        <f>Неделя!B118</f>
        <v>3.8249999999999997</v>
      </c>
      <c r="C118" s="15">
        <f>Неделя!C118</f>
        <v>0</v>
      </c>
      <c r="D118" s="15">
        <f>Неделя!D118</f>
        <v>3</v>
      </c>
      <c r="E118" s="15">
        <f>Неделя!E118</f>
        <v>0</v>
      </c>
      <c r="F118" s="15">
        <f>Неделя!F118</f>
        <v>0</v>
      </c>
      <c r="G118" s="15">
        <f>Неделя!G118</f>
        <v>0</v>
      </c>
      <c r="H118" s="15">
        <f>Неделя!M118</f>
        <v>0</v>
      </c>
    </row>
    <row r="119" spans="1:8" hidden="1">
      <c r="A119" s="15">
        <f>Неделя!A119</f>
        <v>0</v>
      </c>
      <c r="B119" s="15">
        <f>Неделя!B119</f>
        <v>0</v>
      </c>
      <c r="C119" s="15">
        <f>Неделя!C119</f>
        <v>0</v>
      </c>
      <c r="D119" s="15">
        <f>Неделя!D119</f>
        <v>0</v>
      </c>
      <c r="E119" s="15">
        <f>Неделя!E119</f>
        <v>0</v>
      </c>
      <c r="F119" s="15">
        <f>Неделя!F119</f>
        <v>0</v>
      </c>
      <c r="G119" s="15">
        <f>Неделя!G119</f>
        <v>0</v>
      </c>
      <c r="H119" s="15">
        <f>Неделя!M119</f>
        <v>0</v>
      </c>
    </row>
    <row r="120" spans="1:8" hidden="1">
      <c r="A120" s="15" t="str">
        <f>Неделя!A120</f>
        <v>Омс 2х180</v>
      </c>
      <c r="B120" s="15">
        <f>Неделя!B120</f>
        <v>4.1399999999999997</v>
      </c>
      <c r="C120" s="15">
        <f>Неделя!C120</f>
        <v>2</v>
      </c>
      <c r="D120" s="15">
        <f>Неделя!D120</f>
        <v>0</v>
      </c>
      <c r="E120" s="15">
        <f>Неделя!E120</f>
        <v>0</v>
      </c>
      <c r="F120" s="15">
        <f>Неделя!F120</f>
        <v>0</v>
      </c>
      <c r="G120" s="15">
        <f>Неделя!G120</f>
        <v>0</v>
      </c>
      <c r="H120" s="15">
        <f>Неделя!M120</f>
        <v>0</v>
      </c>
    </row>
    <row r="121" spans="1:8" hidden="1">
      <c r="A121" s="15" t="str">
        <f>Неделя!A121</f>
        <v>Отель сервис, ресторан 180х3</v>
      </c>
      <c r="B121" s="15">
        <f>Неделя!B121</f>
        <v>6.2099999999999991</v>
      </c>
      <c r="C121" s="15">
        <f>Неделя!C121</f>
        <v>3</v>
      </c>
      <c r="D121" s="15">
        <f>Неделя!D121</f>
        <v>0</v>
      </c>
      <c r="E121" s="15">
        <f>Неделя!E121</f>
        <v>0</v>
      </c>
      <c r="F121" s="15">
        <f>Неделя!F121</f>
        <v>0</v>
      </c>
      <c r="G121" s="15">
        <f>Неделя!G121</f>
        <v>0</v>
      </c>
      <c r="H121" s="15">
        <f>Неделя!M121</f>
        <v>0</v>
      </c>
    </row>
    <row r="122" spans="1:8" hidden="1">
      <c r="A122" s="15" t="str">
        <f>Неделя!A122</f>
        <v>Отп ленина-150 резаный </v>
      </c>
      <c r="B122" s="15">
        <f>Неделя!B122</f>
        <v>1.2749999999999999</v>
      </c>
      <c r="C122" s="15">
        <f>Неделя!C122</f>
        <v>0</v>
      </c>
      <c r="D122" s="15">
        <f>Неделя!D122</f>
        <v>1</v>
      </c>
      <c r="E122" s="15">
        <f>Неделя!E122</f>
        <v>0</v>
      </c>
      <c r="F122" s="15">
        <f>Неделя!F122</f>
        <v>0</v>
      </c>
      <c r="G122" s="15">
        <f>Неделя!G122</f>
        <v>0</v>
      </c>
      <c r="H122" s="15">
        <f>Неделя!M122</f>
        <v>0</v>
      </c>
    </row>
    <row r="123" spans="1:8" hidden="1">
      <c r="A123" s="15" t="str">
        <f>Неделя!A123</f>
        <v>Офис центр куйбышева-красина 180,150рез</v>
      </c>
      <c r="B123" s="15">
        <f>Неделя!B123</f>
        <v>3.3449999999999998</v>
      </c>
      <c r="C123" s="15">
        <f>Неделя!C123</f>
        <v>1</v>
      </c>
      <c r="D123" s="15">
        <f>Неделя!D123</f>
        <v>1</v>
      </c>
      <c r="E123" s="15">
        <f>Неделя!E123</f>
        <v>0</v>
      </c>
      <c r="F123" s="15">
        <f>Неделя!F123</f>
        <v>0</v>
      </c>
      <c r="G123" s="15">
        <f>Неделя!G123</f>
        <v>0</v>
      </c>
      <c r="H123" s="15">
        <f>Неделя!M123</f>
        <v>0</v>
      </c>
    </row>
    <row r="124" spans="1:8" hidden="1">
      <c r="A124" s="15" t="str">
        <f>Неделя!A124</f>
        <v>Палаццо Гоголя150 рез</v>
      </c>
      <c r="B124" s="15">
        <f>Неделя!B124</f>
        <v>1.2749999999999999</v>
      </c>
      <c r="C124" s="15">
        <f>Неделя!C124</f>
        <v>0</v>
      </c>
      <c r="D124" s="15">
        <f>Неделя!D124</f>
        <v>1</v>
      </c>
      <c r="E124" s="15">
        <f>Неделя!E124</f>
        <v>0</v>
      </c>
      <c r="F124" s="15">
        <f>Неделя!F124</f>
        <v>0</v>
      </c>
      <c r="G124" s="15">
        <f>Неделя!G124</f>
        <v>0</v>
      </c>
      <c r="H124" s="15">
        <f>Неделя!M124</f>
        <v>0</v>
      </c>
    </row>
    <row r="125" spans="1:8" hidden="1">
      <c r="A125" s="15" t="str">
        <f>Неделя!A125</f>
        <v>Парикмахерская тут бут 2х150 нов</v>
      </c>
      <c r="B125" s="15">
        <f>Неделя!B125</f>
        <v>2.5499999999999998</v>
      </c>
      <c r="C125" s="15">
        <f>Неделя!C125</f>
        <v>0</v>
      </c>
      <c r="D125" s="15">
        <f>Неделя!D125</f>
        <v>2</v>
      </c>
      <c r="E125" s="15">
        <f>Неделя!E125</f>
        <v>0</v>
      </c>
      <c r="F125" s="15">
        <f>Неделя!F125</f>
        <v>0</v>
      </c>
      <c r="G125" s="15">
        <f>Неделя!G125</f>
        <v>0</v>
      </c>
      <c r="H125" s="15">
        <f>Неделя!M125</f>
        <v>0</v>
      </c>
    </row>
    <row r="126" spans="1:8" hidden="1">
      <c r="A126" s="15" t="str">
        <f>Неделя!A126</f>
        <v>Планета обуви ленина- 2х200 старые</v>
      </c>
      <c r="B126" s="15">
        <f>Неделя!B126</f>
        <v>4.1399999999999997</v>
      </c>
      <c r="C126" s="15">
        <f>Неделя!C126</f>
        <v>2</v>
      </c>
      <c r="D126" s="15">
        <f>Неделя!D126</f>
        <v>0</v>
      </c>
      <c r="E126" s="15">
        <f>Неделя!E126</f>
        <v>0</v>
      </c>
      <c r="F126" s="15">
        <f>Неделя!F126</f>
        <v>0</v>
      </c>
      <c r="G126" s="15">
        <f>Неделя!G126</f>
        <v>0</v>
      </c>
      <c r="H126" s="15">
        <f>Неделя!M126</f>
        <v>0</v>
      </c>
    </row>
    <row r="127" spans="1:8" hidden="1">
      <c r="A127" s="15" t="str">
        <f>Неделя!A127</f>
        <v>Платинум володарская150 сер. 1 шт.</v>
      </c>
      <c r="B127" s="15">
        <f>Неделя!B127</f>
        <v>1.2749999999999999</v>
      </c>
      <c r="C127" s="15">
        <f>Неделя!C127</f>
        <v>0</v>
      </c>
      <c r="D127" s="15">
        <f>Неделя!D127</f>
        <v>1</v>
      </c>
      <c r="E127" s="15">
        <f>Неделя!E127</f>
        <v>0</v>
      </c>
      <c r="F127" s="15">
        <f>Неделя!F127</f>
        <v>0</v>
      </c>
      <c r="G127" s="15">
        <f>Неделя!G127</f>
        <v>0</v>
      </c>
      <c r="H127" s="15">
        <f>Неделя!M127</f>
        <v>0</v>
      </c>
    </row>
    <row r="128" spans="1:8" hidden="1">
      <c r="A128" s="15" t="str">
        <f>Неделя!A128</f>
        <v>Платон к.Мяготина 180</v>
      </c>
      <c r="B128" s="15">
        <f>Неделя!B128</f>
        <v>2.0699999999999998</v>
      </c>
      <c r="C128" s="15">
        <f>Неделя!C128</f>
        <v>1</v>
      </c>
      <c r="D128" s="15">
        <f>Неделя!D128</f>
        <v>0</v>
      </c>
      <c r="E128" s="15">
        <f>Неделя!E128</f>
        <v>0</v>
      </c>
      <c r="F128" s="15">
        <f>Неделя!F128</f>
        <v>0</v>
      </c>
      <c r="G128" s="15">
        <f>Неделя!G128</f>
        <v>0</v>
      </c>
      <c r="H128" s="15">
        <f>Неделя!M128</f>
        <v>0</v>
      </c>
    </row>
    <row r="129" spans="1:8" hidden="1">
      <c r="A129" s="15" t="str">
        <f>Неделя!A129</f>
        <v>Подиум ленина 180</v>
      </c>
      <c r="B129" s="15">
        <f>Неделя!B129</f>
        <v>2.0699999999999998</v>
      </c>
      <c r="C129" s="15">
        <f>Неделя!C129</f>
        <v>1</v>
      </c>
      <c r="D129" s="15">
        <f>Неделя!D129</f>
        <v>0</v>
      </c>
      <c r="E129" s="15">
        <f>Неделя!E129</f>
        <v>0</v>
      </c>
      <c r="F129" s="15">
        <f>Неделя!F129</f>
        <v>0</v>
      </c>
      <c r="G129" s="15">
        <f>Неделя!G129</f>
        <v>0</v>
      </c>
      <c r="H129" s="15">
        <f>Неделя!M129</f>
        <v>0</v>
      </c>
    </row>
    <row r="130" spans="1:8" hidden="1">
      <c r="A130" s="15" t="str">
        <f>Неделя!A130</f>
        <v>Прайм фитнес клуб 2х150 новые </v>
      </c>
      <c r="B130" s="15">
        <f>Неделя!B130</f>
        <v>2.5499999999999998</v>
      </c>
      <c r="C130" s="15">
        <f>Неделя!C130</f>
        <v>0</v>
      </c>
      <c r="D130" s="15">
        <f>Неделя!D130</f>
        <v>2</v>
      </c>
      <c r="E130" s="15">
        <f>Неделя!E130</f>
        <v>0</v>
      </c>
      <c r="F130" s="15">
        <f>Неделя!F130</f>
        <v>0</v>
      </c>
      <c r="G130" s="15">
        <f>Неделя!G130</f>
        <v>0</v>
      </c>
      <c r="H130" s="15">
        <f>Неделя!M130</f>
        <v>0</v>
      </c>
    </row>
    <row r="131" spans="1:8" hidden="1">
      <c r="A131" s="15" t="str">
        <f>Неделя!A131</f>
        <v xml:space="preserve">Пышка </v>
      </c>
      <c r="B131" s="15">
        <f>Неделя!B131</f>
        <v>1.2749999999999999</v>
      </c>
      <c r="C131" s="15">
        <f>Неделя!C131</f>
        <v>0</v>
      </c>
      <c r="D131" s="15">
        <f>Неделя!D131</f>
        <v>1</v>
      </c>
      <c r="E131" s="15">
        <f>Неделя!E131</f>
        <v>0</v>
      </c>
      <c r="F131" s="15">
        <f>Неделя!F131</f>
        <v>0</v>
      </c>
      <c r="G131" s="15">
        <f>Неделя!G131</f>
        <v>0</v>
      </c>
      <c r="H131" s="15">
        <f>Неделя!M131</f>
        <v>0</v>
      </c>
    </row>
    <row r="132" spans="1:8" hidden="1">
      <c r="A132" s="15" t="str">
        <f>Неделя!A132</f>
        <v>Разговоры ЦПКОИ 180</v>
      </c>
      <c r="B132" s="15">
        <f>Неделя!B132</f>
        <v>2.0699999999999998</v>
      </c>
      <c r="C132" s="15">
        <f>Неделя!C132</f>
        <v>1</v>
      </c>
      <c r="D132" s="15">
        <f>Неделя!D132</f>
        <v>0</v>
      </c>
      <c r="E132" s="15">
        <f>Неделя!E132</f>
        <v>0</v>
      </c>
      <c r="F132" s="15">
        <f>Неделя!F132</f>
        <v>0</v>
      </c>
      <c r="G132" s="15">
        <f>Неделя!G132</f>
        <v>0</v>
      </c>
      <c r="H132" s="15">
        <f>Неделя!M132</f>
        <v>0</v>
      </c>
    </row>
    <row r="133" spans="1:8" hidden="1">
      <c r="A133" s="15" t="str">
        <f>Неделя!A133</f>
        <v>Рикер ленина-200 старый </v>
      </c>
      <c r="B133" s="15">
        <f>Неделя!B133</f>
        <v>2.0699999999999998</v>
      </c>
      <c r="C133" s="15">
        <f>Неделя!C133</f>
        <v>1</v>
      </c>
      <c r="D133" s="15">
        <f>Неделя!D133</f>
        <v>0</v>
      </c>
      <c r="E133" s="15">
        <f>Неделя!E133</f>
        <v>0</v>
      </c>
      <c r="F133" s="15">
        <f>Неделя!F133</f>
        <v>0</v>
      </c>
      <c r="G133" s="15">
        <f>Неделя!G133</f>
        <v>0</v>
      </c>
      <c r="H133" s="15">
        <f>Неделя!M133</f>
        <v>0</v>
      </c>
    </row>
    <row r="134" spans="1:8" hidden="1">
      <c r="A134" s="15" t="str">
        <f>Неделя!A134</f>
        <v>Саквояж ленина-180</v>
      </c>
      <c r="B134" s="15">
        <f>Неделя!B134</f>
        <v>2.0699999999999998</v>
      </c>
      <c r="C134" s="15">
        <f>Неделя!C134</f>
        <v>1</v>
      </c>
      <c r="D134" s="15">
        <f>Неделя!D134</f>
        <v>0</v>
      </c>
      <c r="E134" s="15">
        <f>Неделя!E134</f>
        <v>0</v>
      </c>
      <c r="F134" s="15">
        <f>Неделя!F134</f>
        <v>0</v>
      </c>
      <c r="G134" s="15">
        <f>Неделя!G134</f>
        <v>0</v>
      </c>
      <c r="H134" s="15">
        <f>Неделя!M134</f>
        <v>0</v>
      </c>
    </row>
    <row r="135" spans="1:8" hidden="1">
      <c r="A135" s="15">
        <f>Неделя!A135</f>
        <v>0</v>
      </c>
      <c r="B135" s="15">
        <f>Неделя!B135</f>
        <v>0</v>
      </c>
      <c r="C135" s="15">
        <f>Неделя!C135</f>
        <v>0</v>
      </c>
      <c r="D135" s="15">
        <f>Неделя!D135</f>
        <v>0</v>
      </c>
      <c r="E135" s="15">
        <f>Неделя!E135</f>
        <v>0</v>
      </c>
      <c r="F135" s="15">
        <f>Неделя!F135</f>
        <v>0</v>
      </c>
      <c r="G135" s="15">
        <f>Неделя!G135</f>
        <v>0</v>
      </c>
      <c r="H135" s="15">
        <f>Неделя!M135</f>
        <v>0</v>
      </c>
    </row>
    <row r="136" spans="1:8" hidden="1">
      <c r="A136" s="15" t="str">
        <f>Неделя!A136</f>
        <v>Сибирский газовик володарского 65, 150 сер. 3 шт</v>
      </c>
      <c r="B136" s="15">
        <f>Неделя!B136</f>
        <v>3.8249999999999997</v>
      </c>
      <c r="C136" s="15">
        <f>Неделя!C136</f>
        <v>0</v>
      </c>
      <c r="D136" s="15">
        <f>Неделя!D136</f>
        <v>3</v>
      </c>
      <c r="E136" s="15">
        <f>Неделя!E136</f>
        <v>0</v>
      </c>
      <c r="F136" s="15">
        <f>Неделя!F136</f>
        <v>0</v>
      </c>
      <c r="G136" s="15">
        <f>Неделя!G136</f>
        <v>0</v>
      </c>
      <c r="H136" s="15">
        <f>Неделя!M136</f>
        <v>0</v>
      </c>
    </row>
    <row r="137" spans="1:8" hidden="1">
      <c r="A137" s="15" t="str">
        <f>Неделя!A137</f>
        <v>Скорпион 150 </v>
      </c>
      <c r="B137" s="15">
        <f>Неделя!B137</f>
        <v>1.2749999999999999</v>
      </c>
      <c r="C137" s="15">
        <f>Неделя!C137</f>
        <v>0</v>
      </c>
      <c r="D137" s="15">
        <f>Неделя!D137</f>
        <v>1</v>
      </c>
      <c r="E137" s="15">
        <f>Неделя!E137</f>
        <v>0</v>
      </c>
      <c r="F137" s="15">
        <f>Неделя!F137</f>
        <v>0</v>
      </c>
      <c r="G137" s="15">
        <f>Неделя!G137</f>
        <v>0</v>
      </c>
      <c r="H137" s="15">
        <f>Неделя!M137</f>
        <v>0</v>
      </c>
    </row>
    <row r="138" spans="1:8" hidden="1">
      <c r="A138" s="15">
        <f>Неделя!A138</f>
        <v>0</v>
      </c>
      <c r="B138" s="15">
        <f>Неделя!B138</f>
        <v>0</v>
      </c>
      <c r="C138" s="15">
        <f>Неделя!C138</f>
        <v>0</v>
      </c>
      <c r="D138" s="15">
        <f>Неделя!D138</f>
        <v>0</v>
      </c>
      <c r="E138" s="15">
        <f>Неделя!E138</f>
        <v>0</v>
      </c>
      <c r="F138" s="15">
        <f>Неделя!F138</f>
        <v>0</v>
      </c>
      <c r="G138" s="15">
        <f>Неделя!G138</f>
        <v>0</v>
      </c>
      <c r="H138" s="15">
        <f>Неделя!M138</f>
        <v>0</v>
      </c>
    </row>
    <row r="139" spans="1:8" hidden="1">
      <c r="A139" s="15" t="str">
        <f>Неделя!A139</f>
        <v>Совкомбанк Ленина 180</v>
      </c>
      <c r="B139" s="15">
        <f>Неделя!B139</f>
        <v>2.0699999999999998</v>
      </c>
      <c r="C139" s="15">
        <f>Неделя!C139</f>
        <v>1</v>
      </c>
      <c r="D139" s="15">
        <f>Неделя!D139</f>
        <v>0</v>
      </c>
      <c r="E139" s="15">
        <f>Неделя!E139</f>
        <v>0</v>
      </c>
      <c r="F139" s="15">
        <f>Неделя!F139</f>
        <v>0</v>
      </c>
      <c r="G139" s="15">
        <f>Неделя!G139</f>
        <v>0</v>
      </c>
      <c r="H139" s="15">
        <f>Неделя!M139</f>
        <v>0</v>
      </c>
    </row>
    <row r="140" spans="1:8" hidden="1">
      <c r="A140" s="15" t="str">
        <f>Неделя!A140</f>
        <v>совкомбанк гоголя-180 </v>
      </c>
      <c r="B140" s="15">
        <f>Неделя!B140</f>
        <v>2.0699999999999998</v>
      </c>
      <c r="C140" s="15">
        <f>Неделя!C140</f>
        <v>1</v>
      </c>
      <c r="D140" s="15">
        <f>Неделя!D140</f>
        <v>0</v>
      </c>
      <c r="E140" s="15">
        <f>Неделя!E140</f>
        <v>0</v>
      </c>
      <c r="F140" s="15">
        <f>Неделя!F140</f>
        <v>0</v>
      </c>
      <c r="G140" s="15">
        <f>Неделя!G140</f>
        <v>0</v>
      </c>
      <c r="H140" s="15">
        <f>Неделя!M140</f>
        <v>0</v>
      </c>
    </row>
    <row r="141" spans="1:8" hidden="1">
      <c r="A141" s="15" t="str">
        <f>Неделя!A141</f>
        <v>Стиляги площадь серый новый 150+150</v>
      </c>
      <c r="B141" s="15">
        <f>Неделя!B141</f>
        <v>2.5499999999999998</v>
      </c>
      <c r="C141" s="15">
        <f>Неделя!C141</f>
        <v>0</v>
      </c>
      <c r="D141" s="15">
        <f>Неделя!D141</f>
        <v>2</v>
      </c>
      <c r="E141" s="15">
        <f>Неделя!E141</f>
        <v>0</v>
      </c>
      <c r="F141" s="15">
        <f>Неделя!F141</f>
        <v>0</v>
      </c>
      <c r="G141" s="15">
        <f>Неделя!G141</f>
        <v>0</v>
      </c>
      <c r="H141" s="15">
        <f>Неделя!M141</f>
        <v>0</v>
      </c>
    </row>
    <row r="142" spans="1:8" hidden="1">
      <c r="A142" s="15" t="str">
        <f>Неделя!A142</f>
        <v>Триумф 180</v>
      </c>
      <c r="B142" s="15">
        <f>Неделя!B142</f>
        <v>2.0699999999999998</v>
      </c>
      <c r="C142" s="15">
        <f>Неделя!C142</f>
        <v>1</v>
      </c>
      <c r="D142" s="15">
        <f>Неделя!D142</f>
        <v>0</v>
      </c>
      <c r="E142" s="15">
        <f>Неделя!E142</f>
        <v>0</v>
      </c>
      <c r="F142" s="15">
        <f>Неделя!F142</f>
        <v>0</v>
      </c>
      <c r="G142" s="15">
        <f>Неделя!G142</f>
        <v>0</v>
      </c>
      <c r="H142" s="15">
        <f>Неделя!M142</f>
        <v>0</v>
      </c>
    </row>
    <row r="143" spans="1:8" hidden="1">
      <c r="A143" s="15">
        <f>Неделя!A143</f>
        <v>0</v>
      </c>
      <c r="B143" s="15">
        <f>Неделя!B143</f>
        <v>0</v>
      </c>
      <c r="C143" s="15">
        <f>Неделя!C143</f>
        <v>0</v>
      </c>
      <c r="D143" s="15">
        <f>Неделя!D143</f>
        <v>0</v>
      </c>
      <c r="E143" s="15">
        <f>Неделя!E143</f>
        <v>0</v>
      </c>
      <c r="F143" s="15">
        <f>Неделя!F143</f>
        <v>0</v>
      </c>
      <c r="G143" s="15">
        <f>Неделя!G143</f>
        <v>0</v>
      </c>
      <c r="H143" s="15">
        <f>Неделя!M143</f>
        <v>0</v>
      </c>
    </row>
    <row r="144" spans="1:8">
      <c r="A144" s="15" t="str">
        <f>Неделя!A144</f>
        <v>Фам-150</v>
      </c>
      <c r="B144" s="15">
        <f>Неделя!B144</f>
        <v>1.2749999999999999</v>
      </c>
      <c r="C144" s="15">
        <f>Неделя!C144</f>
        <v>0</v>
      </c>
      <c r="D144" s="15">
        <f>Неделя!D144</f>
        <v>1</v>
      </c>
      <c r="E144" s="15">
        <f>Неделя!E144</f>
        <v>0</v>
      </c>
      <c r="F144" s="15">
        <f>Неделя!F144</f>
        <v>0</v>
      </c>
      <c r="G144" s="15">
        <f>Неделя!G144</f>
        <v>0</v>
      </c>
      <c r="H144" s="15">
        <f>Неделя!M144</f>
        <v>1</v>
      </c>
    </row>
    <row r="145" spans="1:8" hidden="1">
      <c r="A145" s="15" t="str">
        <f>Неделя!A145</f>
        <v>Франческо донни 150 рез. </v>
      </c>
      <c r="B145" s="15">
        <f>Неделя!B145</f>
        <v>1.2749999999999999</v>
      </c>
      <c r="C145" s="15">
        <f>Неделя!C145</f>
        <v>0</v>
      </c>
      <c r="D145" s="15">
        <f>Неделя!D145</f>
        <v>1</v>
      </c>
      <c r="E145" s="15">
        <f>Неделя!E145</f>
        <v>0</v>
      </c>
      <c r="F145" s="15">
        <f>Неделя!F145</f>
        <v>0</v>
      </c>
      <c r="G145" s="15">
        <f>Неделя!G145</f>
        <v>0</v>
      </c>
      <c r="H145" s="15">
        <f>Неделя!M145</f>
        <v>0</v>
      </c>
    </row>
    <row r="146" spans="1:8">
      <c r="A146" s="15" t="str">
        <f>Неделя!A146</f>
        <v>чунунок к. Мяготина-1x180</v>
      </c>
      <c r="B146" s="15">
        <f>Неделя!B146</f>
        <v>2.0699999999999998</v>
      </c>
      <c r="C146" s="15">
        <f>Неделя!C146</f>
        <v>1</v>
      </c>
      <c r="D146" s="15">
        <f>Неделя!D146</f>
        <v>0</v>
      </c>
      <c r="E146" s="15">
        <f>Неделя!E146</f>
        <v>0</v>
      </c>
      <c r="F146" s="15">
        <f>Неделя!F146</f>
        <v>0</v>
      </c>
      <c r="G146" s="15">
        <f>Неделя!G146</f>
        <v>0</v>
      </c>
      <c r="H146" s="15">
        <f>Неделя!M146</f>
        <v>1</v>
      </c>
    </row>
    <row r="147" spans="1:8" hidden="1">
      <c r="A147" s="15" t="str">
        <f>Неделя!A147</f>
        <v>Швейный мир 2-60х80</v>
      </c>
      <c r="B147" s="15">
        <f>Неделя!B147</f>
        <v>2.5499999999999998</v>
      </c>
      <c r="C147" s="15">
        <f>Неделя!C147</f>
        <v>0</v>
      </c>
      <c r="D147" s="15">
        <f>Неделя!D147</f>
        <v>0</v>
      </c>
      <c r="E147" s="15">
        <f>Неделя!E147</f>
        <v>2</v>
      </c>
      <c r="F147" s="15">
        <f>Неделя!F147</f>
        <v>0</v>
      </c>
      <c r="G147" s="15">
        <f>Неделя!G147</f>
        <v>0</v>
      </c>
      <c r="H147" s="15">
        <f>Неделя!M147</f>
        <v>0</v>
      </c>
    </row>
    <row r="148" spans="1:8" hidden="1">
      <c r="A148" s="15">
        <f>Неделя!A148</f>
        <v>0</v>
      </c>
      <c r="B148" s="15">
        <f>Неделя!B148</f>
        <v>0</v>
      </c>
      <c r="C148" s="15">
        <f>Неделя!C148</f>
        <v>0</v>
      </c>
      <c r="D148" s="15">
        <f>Неделя!D148</f>
        <v>0</v>
      </c>
      <c r="E148" s="15">
        <f>Неделя!E148</f>
        <v>0</v>
      </c>
      <c r="F148" s="15">
        <f>Неделя!F148</f>
        <v>0</v>
      </c>
      <c r="G148" s="15">
        <f>Неделя!G148</f>
        <v>0</v>
      </c>
      <c r="H148" s="15">
        <f>Неделя!M148</f>
        <v>0</v>
      </c>
    </row>
    <row r="149" spans="1:8" hidden="1">
      <c r="A149" s="15" t="str">
        <f>Неделя!A149</f>
        <v>Эльшуз 150 </v>
      </c>
      <c r="B149" s="15">
        <f>Неделя!B149</f>
        <v>1.2749999999999999</v>
      </c>
      <c r="C149" s="15">
        <f>Неделя!C149</f>
        <v>0</v>
      </c>
      <c r="D149" s="15">
        <f>Неделя!D149</f>
        <v>1</v>
      </c>
      <c r="E149" s="15">
        <f>Неделя!E149</f>
        <v>0</v>
      </c>
      <c r="F149" s="15">
        <f>Неделя!F149</f>
        <v>0</v>
      </c>
      <c r="G149" s="15">
        <f>Неделя!G149</f>
        <v>0</v>
      </c>
      <c r="H149" s="15">
        <f>Неделя!M149</f>
        <v>0</v>
      </c>
    </row>
    <row r="150" spans="1:8" hidden="1">
      <c r="A150" s="15" t="str">
        <f>Неделя!A150</f>
        <v>Япошка Юбилейный 150 резаный</v>
      </c>
      <c r="B150" s="15">
        <f>Неделя!B150</f>
        <v>1.2749999999999999</v>
      </c>
      <c r="C150" s="15">
        <f>Неделя!C150</f>
        <v>0</v>
      </c>
      <c r="D150" s="15">
        <f>Неделя!D150</f>
        <v>1</v>
      </c>
      <c r="E150" s="15">
        <f>Неделя!E150</f>
        <v>0</v>
      </c>
      <c r="F150" s="15">
        <f>Неделя!F150</f>
        <v>0</v>
      </c>
      <c r="G150" s="15">
        <f>Неделя!G150</f>
        <v>0</v>
      </c>
      <c r="H150" s="15">
        <f>Неделя!M150</f>
        <v>0</v>
      </c>
    </row>
    <row r="151" spans="1:8" hidden="1">
      <c r="A151" s="15" t="str">
        <f>Неделя!A151</f>
        <v>Plaza томина 150 ноябрь </v>
      </c>
      <c r="B151" s="15">
        <f>Неделя!B151</f>
        <v>1.2749999999999999</v>
      </c>
      <c r="C151" s="15">
        <f>Неделя!C151</f>
        <v>0</v>
      </c>
      <c r="D151" s="15">
        <f>Неделя!D151</f>
        <v>1</v>
      </c>
      <c r="E151" s="15">
        <f>Неделя!E151</f>
        <v>0</v>
      </c>
      <c r="F151" s="15">
        <f>Неделя!F151</f>
        <v>0</v>
      </c>
      <c r="G151" s="15">
        <f>Неделя!G151</f>
        <v>0</v>
      </c>
      <c r="H151" s="15">
        <f>Неделя!M151</f>
        <v>0</v>
      </c>
    </row>
    <row r="152" spans="1:8" hidden="1">
      <c r="A152" s="15" t="str">
        <f>Неделя!A152</f>
        <v>SoupRamen 180  </v>
      </c>
      <c r="B152" s="15">
        <f>Неделя!B152</f>
        <v>2.0699999999999998</v>
      </c>
      <c r="C152" s="15">
        <f>Неделя!C152</f>
        <v>1</v>
      </c>
      <c r="D152" s="15">
        <f>Неделя!D152</f>
        <v>0</v>
      </c>
      <c r="E152" s="15">
        <f>Неделя!E152</f>
        <v>0</v>
      </c>
      <c r="F152" s="15">
        <f>Неделя!F152</f>
        <v>0</v>
      </c>
      <c r="G152" s="15">
        <f>Неделя!G152</f>
        <v>0</v>
      </c>
      <c r="H152" s="15">
        <f>Неделя!M152</f>
        <v>0</v>
      </c>
    </row>
    <row r="153" spans="1:8">
      <c r="A153" s="15">
        <f>Неделя!A154</f>
        <v>0</v>
      </c>
      <c r="B153" s="15">
        <f>SUBTOTAL(9,B1:B152)</f>
        <v>133.352</v>
      </c>
      <c r="C153" s="15">
        <f>Неделя!C154</f>
        <v>180</v>
      </c>
      <c r="D153" s="15">
        <f>Неделя!D154</f>
        <v>150</v>
      </c>
      <c r="E153" s="15" t="str">
        <f>Неделя!E154</f>
        <v xml:space="preserve">рез </v>
      </c>
      <c r="F153" s="15">
        <f>Неделя!F154</f>
        <v>400</v>
      </c>
      <c r="G153" s="15">
        <f>Неделя!G154</f>
        <v>250</v>
      </c>
      <c r="H153" s="15" t="str">
        <f>Неделя!M154</f>
        <v>пт</v>
      </c>
    </row>
    <row r="154" spans="1:8" hidden="1">
      <c r="A154" s="15">
        <f>Неделя!A155</f>
        <v>0</v>
      </c>
      <c r="B154" s="15">
        <f>Неделя!B155</f>
        <v>98.50999999999992</v>
      </c>
      <c r="C154" s="15">
        <f>Неделя!C155</f>
        <v>180</v>
      </c>
      <c r="D154" s="15">
        <f>Неделя!D155</f>
        <v>150</v>
      </c>
      <c r="E154" s="15" t="str">
        <f>Неделя!E155</f>
        <v xml:space="preserve">рез </v>
      </c>
      <c r="F154" s="15">
        <f>Неделя!F155</f>
        <v>400</v>
      </c>
      <c r="G154" s="15">
        <f>Неделя!G155</f>
        <v>250</v>
      </c>
      <c r="H154" s="15">
        <f>Неделя!M155</f>
        <v>0</v>
      </c>
    </row>
    <row r="155" spans="1:8" hidden="1">
      <c r="A155" s="15">
        <f>Неделя!A156</f>
        <v>0</v>
      </c>
      <c r="B155" s="15">
        <f>Неделя!B156</f>
        <v>0</v>
      </c>
      <c r="C155" s="15">
        <f>Неделя!C156</f>
        <v>28</v>
      </c>
      <c r="D155" s="15">
        <f>Неделя!D156</f>
        <v>23</v>
      </c>
      <c r="E155" s="15">
        <f>Неделя!E156</f>
        <v>3</v>
      </c>
      <c r="F155" s="15">
        <f>Неделя!F156</f>
        <v>1</v>
      </c>
      <c r="G155" s="15">
        <f>Неделя!G156</f>
        <v>1</v>
      </c>
      <c r="H155" s="15">
        <f>Неделя!M156</f>
        <v>0</v>
      </c>
    </row>
    <row r="156" spans="1:8" hidden="1">
      <c r="A156" s="15">
        <f>Неделя!A157</f>
        <v>0</v>
      </c>
      <c r="B156" s="15">
        <f>Неделя!B157</f>
        <v>0</v>
      </c>
      <c r="C156" s="15">
        <f>Неделя!C157</f>
        <v>0</v>
      </c>
      <c r="D156" s="15">
        <f>Неделя!D157</f>
        <v>0</v>
      </c>
      <c r="E156" s="15">
        <f>Неделя!E157</f>
        <v>0</v>
      </c>
      <c r="F156" s="15">
        <f>Неделя!F157</f>
        <v>0</v>
      </c>
      <c r="G156" s="15">
        <f>Неделя!G157</f>
        <v>0</v>
      </c>
      <c r="H156" s="15">
        <f>Неделя!M157</f>
        <v>0</v>
      </c>
    </row>
    <row r="157" spans="1:8" hidden="1">
      <c r="A157" s="15">
        <f>Неделя!A158</f>
        <v>0</v>
      </c>
      <c r="B157" s="15">
        <f>Неделя!B158</f>
        <v>0</v>
      </c>
      <c r="C157" s="15">
        <f>Неделя!C158</f>
        <v>0</v>
      </c>
      <c r="D157" s="15">
        <f>Неделя!D158</f>
        <v>0</v>
      </c>
      <c r="E157" s="15">
        <f>Неделя!E158</f>
        <v>0</v>
      </c>
      <c r="F157" s="15">
        <f>Неделя!F158</f>
        <v>0</v>
      </c>
      <c r="G157" s="15">
        <f>Неделя!G158</f>
        <v>0</v>
      </c>
      <c r="H157" s="15">
        <f>Неделя!M158</f>
        <v>0</v>
      </c>
    </row>
    <row r="158" spans="1:8" hidden="1">
      <c r="A158" s="15">
        <f>Неделя!A159</f>
        <v>0</v>
      </c>
      <c r="B158" s="15">
        <f>Неделя!B159</f>
        <v>0</v>
      </c>
      <c r="C158" s="15">
        <f>Неделя!C159</f>
        <v>0</v>
      </c>
      <c r="D158" s="15">
        <f>Неделя!D159</f>
        <v>0</v>
      </c>
      <c r="E158" s="15">
        <f>Неделя!E159</f>
        <v>0</v>
      </c>
      <c r="F158" s="15">
        <f>Неделя!F159</f>
        <v>0</v>
      </c>
      <c r="G158" s="15">
        <f>Неделя!G159</f>
        <v>0</v>
      </c>
      <c r="H158" s="15">
        <f>Неделя!M159</f>
        <v>0</v>
      </c>
    </row>
    <row r="159" spans="1:8" hidden="1">
      <c r="A159" s="15">
        <f>Неделя!A160</f>
        <v>0</v>
      </c>
      <c r="B159" s="15">
        <f>Неделя!B160</f>
        <v>0</v>
      </c>
      <c r="C159" s="15">
        <f>Неделя!C160</f>
        <v>0</v>
      </c>
      <c r="D159" s="15">
        <f>Неделя!D160</f>
        <v>0</v>
      </c>
      <c r="E159" s="15">
        <f>Неделя!E160</f>
        <v>0</v>
      </c>
      <c r="F159" s="15">
        <f>Неделя!F160</f>
        <v>0</v>
      </c>
      <c r="G159" s="15">
        <f>Неделя!G160</f>
        <v>0</v>
      </c>
      <c r="H159" s="15">
        <f>Неделя!M160</f>
        <v>0</v>
      </c>
    </row>
    <row r="160" spans="1:8" hidden="1">
      <c r="A160" s="15">
        <f>Неделя!A161</f>
        <v>0</v>
      </c>
      <c r="B160" s="15">
        <f>Неделя!B161</f>
        <v>0</v>
      </c>
      <c r="C160" s="15">
        <f>Неделя!C161</f>
        <v>0</v>
      </c>
      <c r="D160" s="15">
        <f>Неделя!D161</f>
        <v>0</v>
      </c>
      <c r="E160" s="15">
        <f>Неделя!E161</f>
        <v>0</v>
      </c>
      <c r="F160" s="15">
        <f>Неделя!F161</f>
        <v>0</v>
      </c>
      <c r="G160" s="15">
        <f>Неделя!G161</f>
        <v>0</v>
      </c>
      <c r="H160" s="15">
        <f>Неделя!M161</f>
        <v>0</v>
      </c>
    </row>
    <row r="161" spans="1:8" hidden="1">
      <c r="A161" s="15">
        <f>Неделя!A162</f>
        <v>0</v>
      </c>
      <c r="B161" s="15">
        <f>Неделя!B162</f>
        <v>0</v>
      </c>
      <c r="C161" s="15">
        <f>Неделя!C162</f>
        <v>0</v>
      </c>
      <c r="D161" s="15">
        <f>Неделя!D162</f>
        <v>0</v>
      </c>
      <c r="E161" s="15">
        <f>Неделя!E162</f>
        <v>0</v>
      </c>
      <c r="F161" s="15">
        <f>Неделя!F162</f>
        <v>0</v>
      </c>
      <c r="G161" s="15">
        <f>Неделя!G162</f>
        <v>0</v>
      </c>
      <c r="H161" s="15">
        <f>Неделя!M162</f>
        <v>0</v>
      </c>
    </row>
    <row r="162" spans="1:8" hidden="1">
      <c r="A162" s="15">
        <f>Неделя!A163</f>
        <v>0</v>
      </c>
      <c r="B162" s="15">
        <f>Неделя!B163</f>
        <v>0</v>
      </c>
      <c r="C162" s="15">
        <f>Неделя!C163</f>
        <v>0</v>
      </c>
      <c r="D162" s="15">
        <f>Неделя!D163</f>
        <v>0</v>
      </c>
      <c r="E162" s="15">
        <f>Неделя!E163</f>
        <v>0</v>
      </c>
      <c r="F162" s="15">
        <f>Неделя!F163</f>
        <v>0</v>
      </c>
      <c r="G162" s="15">
        <f>Неделя!G163</f>
        <v>0</v>
      </c>
      <c r="H162" s="15">
        <f>Неделя!M163</f>
        <v>0</v>
      </c>
    </row>
    <row r="163" spans="1:8" hidden="1">
      <c r="A163" s="15">
        <f>Неделя!A164</f>
        <v>0</v>
      </c>
      <c r="B163" s="15">
        <f>Неделя!B164</f>
        <v>0</v>
      </c>
      <c r="C163" s="15">
        <f>Неделя!C164</f>
        <v>0</v>
      </c>
      <c r="D163" s="15">
        <f>Неделя!D164</f>
        <v>0</v>
      </c>
      <c r="E163" s="15">
        <f>Неделя!E164</f>
        <v>0</v>
      </c>
      <c r="F163" s="15">
        <f>Неделя!F164</f>
        <v>0</v>
      </c>
      <c r="G163" s="15">
        <f>Неделя!G164</f>
        <v>0</v>
      </c>
      <c r="H163" s="15">
        <f>Неделя!M164</f>
        <v>0</v>
      </c>
    </row>
    <row r="164" spans="1:8" hidden="1">
      <c r="A164" s="15">
        <f>Неделя!A165</f>
        <v>0</v>
      </c>
      <c r="B164" s="15">
        <f>Неделя!B165</f>
        <v>0</v>
      </c>
      <c r="C164" s="15">
        <f>Неделя!C165</f>
        <v>0</v>
      </c>
      <c r="D164" s="15">
        <f>Неделя!D165</f>
        <v>0</v>
      </c>
      <c r="E164" s="15">
        <f>Неделя!E165</f>
        <v>0</v>
      </c>
      <c r="F164" s="15">
        <f>Неделя!F165</f>
        <v>0</v>
      </c>
      <c r="G164" s="15">
        <f>Неделя!G165</f>
        <v>0</v>
      </c>
      <c r="H164" s="15">
        <f>Неделя!M165</f>
        <v>0</v>
      </c>
    </row>
    <row r="165" spans="1:8" hidden="1">
      <c r="A165" s="15">
        <f>Неделя!A166</f>
        <v>0</v>
      </c>
      <c r="B165" s="15">
        <f>Неделя!B166</f>
        <v>0</v>
      </c>
      <c r="C165" s="15">
        <f>Неделя!C166</f>
        <v>0</v>
      </c>
      <c r="D165" s="15">
        <f>Неделя!D166</f>
        <v>0</v>
      </c>
      <c r="E165" s="15">
        <f>Неделя!E166</f>
        <v>0</v>
      </c>
      <c r="F165" s="15">
        <f>Неделя!F166</f>
        <v>0</v>
      </c>
      <c r="G165" s="15">
        <f>Неделя!G166</f>
        <v>0</v>
      </c>
      <c r="H165" s="15">
        <f>Неделя!M166</f>
        <v>0</v>
      </c>
    </row>
    <row r="166" spans="1:8" hidden="1">
      <c r="A166" s="15">
        <f>Неделя!A167</f>
        <v>0</v>
      </c>
      <c r="B166" s="15">
        <f>Неделя!B167</f>
        <v>0</v>
      </c>
      <c r="C166" s="15">
        <f>Неделя!C167</f>
        <v>0</v>
      </c>
      <c r="D166" s="15">
        <f>Неделя!D167</f>
        <v>0</v>
      </c>
      <c r="E166" s="15">
        <f>Неделя!E167</f>
        <v>0</v>
      </c>
      <c r="F166" s="15">
        <f>Неделя!F167</f>
        <v>0</v>
      </c>
      <c r="G166" s="15">
        <f>Неделя!G167</f>
        <v>0</v>
      </c>
      <c r="H166" s="15">
        <f>Неделя!M167</f>
        <v>0</v>
      </c>
    </row>
    <row r="167" spans="1:8" hidden="1">
      <c r="A167" s="15">
        <f>Неделя!A168</f>
        <v>0</v>
      </c>
      <c r="B167" s="15">
        <f>Неделя!B168</f>
        <v>0</v>
      </c>
      <c r="C167" s="15">
        <f>Неделя!C168</f>
        <v>0</v>
      </c>
      <c r="D167" s="15">
        <f>Неделя!D168</f>
        <v>0</v>
      </c>
      <c r="E167" s="15">
        <f>Неделя!E168</f>
        <v>0</v>
      </c>
      <c r="F167" s="15">
        <f>Неделя!F168</f>
        <v>0</v>
      </c>
      <c r="G167" s="15">
        <f>Неделя!G168</f>
        <v>0</v>
      </c>
      <c r="H167" s="15">
        <f>Неделя!M168</f>
        <v>0</v>
      </c>
    </row>
    <row r="168" spans="1:8" hidden="1">
      <c r="A168" s="15">
        <f>Неделя!A169</f>
        <v>0</v>
      </c>
      <c r="B168" s="15">
        <f>Неделя!B169</f>
        <v>0</v>
      </c>
      <c r="C168" s="15">
        <f>Неделя!C169</f>
        <v>0</v>
      </c>
      <c r="D168" s="15">
        <f>Неделя!D169</f>
        <v>0</v>
      </c>
      <c r="E168" s="15">
        <f>Неделя!E169</f>
        <v>0</v>
      </c>
      <c r="F168" s="15">
        <f>Неделя!F169</f>
        <v>0</v>
      </c>
      <c r="G168" s="15">
        <f>Неделя!G169</f>
        <v>0</v>
      </c>
      <c r="H168" s="15">
        <f>Неделя!M169</f>
        <v>0</v>
      </c>
    </row>
    <row r="169" spans="1:8" hidden="1">
      <c r="A169" s="15">
        <f>Неделя!A170</f>
        <v>0</v>
      </c>
      <c r="B169" s="15">
        <f>Неделя!B170</f>
        <v>0</v>
      </c>
      <c r="C169" s="15">
        <f>Неделя!C170</f>
        <v>0</v>
      </c>
      <c r="D169" s="15">
        <f>Неделя!D170</f>
        <v>0</v>
      </c>
      <c r="E169" s="15">
        <f>Неделя!E170</f>
        <v>0</v>
      </c>
      <c r="F169" s="15">
        <f>Неделя!F170</f>
        <v>0</v>
      </c>
      <c r="G169" s="15">
        <f>Неделя!G170</f>
        <v>0</v>
      </c>
      <c r="H169" s="15">
        <f>Неделя!M170</f>
        <v>0</v>
      </c>
    </row>
    <row r="170" spans="1:8" hidden="1">
      <c r="A170" s="15">
        <f>Неделя!A171</f>
        <v>0</v>
      </c>
      <c r="B170" s="15">
        <f>Неделя!B171</f>
        <v>0</v>
      </c>
      <c r="C170" s="15">
        <f>Неделя!C171</f>
        <v>0</v>
      </c>
      <c r="D170" s="15">
        <f>Неделя!D171</f>
        <v>0</v>
      </c>
      <c r="E170" s="15">
        <f>Неделя!E171</f>
        <v>0</v>
      </c>
      <c r="F170" s="15">
        <f>Неделя!F171</f>
        <v>0</v>
      </c>
      <c r="G170" s="15">
        <f>Неделя!G171</f>
        <v>0</v>
      </c>
      <c r="H170" s="15">
        <f>Неделя!M171</f>
        <v>0</v>
      </c>
    </row>
    <row r="171" spans="1:8" hidden="1">
      <c r="A171" s="15">
        <f>Неделя!A172</f>
        <v>0</v>
      </c>
      <c r="B171" s="15">
        <f>Неделя!B172</f>
        <v>0</v>
      </c>
      <c r="C171" s="15">
        <f>Неделя!C172</f>
        <v>0</v>
      </c>
      <c r="D171" s="15">
        <f>Неделя!D172</f>
        <v>0</v>
      </c>
      <c r="E171" s="15">
        <f>Неделя!E172</f>
        <v>0</v>
      </c>
      <c r="F171" s="15">
        <f>Неделя!F172</f>
        <v>0</v>
      </c>
      <c r="G171" s="15">
        <f>Неделя!G172</f>
        <v>0</v>
      </c>
      <c r="H171" s="15">
        <f>Неделя!M172</f>
        <v>0</v>
      </c>
    </row>
    <row r="172" spans="1:8" hidden="1">
      <c r="A172" s="15">
        <f>Неделя!A173</f>
        <v>0</v>
      </c>
      <c r="B172" s="15">
        <f>Неделя!B173</f>
        <v>0</v>
      </c>
      <c r="C172" s="15">
        <f>Неделя!C173</f>
        <v>0</v>
      </c>
      <c r="D172" s="15">
        <f>Неделя!D173</f>
        <v>0</v>
      </c>
      <c r="E172" s="15">
        <f>Неделя!E173</f>
        <v>0</v>
      </c>
      <c r="F172" s="15">
        <f>Неделя!F173</f>
        <v>0</v>
      </c>
      <c r="G172" s="15">
        <f>Неделя!G173</f>
        <v>0</v>
      </c>
      <c r="H172" s="15">
        <f>Неделя!M173</f>
        <v>0</v>
      </c>
    </row>
    <row r="173" spans="1:8" hidden="1">
      <c r="A173" s="15">
        <f>Неделя!A174</f>
        <v>0</v>
      </c>
      <c r="B173" s="15">
        <f>Неделя!B174</f>
        <v>0</v>
      </c>
      <c r="C173" s="15">
        <f>Неделя!C174</f>
        <v>0</v>
      </c>
      <c r="D173" s="15">
        <f>Неделя!D174</f>
        <v>0</v>
      </c>
      <c r="E173" s="15">
        <f>Неделя!E174</f>
        <v>0</v>
      </c>
      <c r="F173" s="15">
        <f>Неделя!F174</f>
        <v>0</v>
      </c>
      <c r="G173" s="15">
        <f>Неделя!G174</f>
        <v>0</v>
      </c>
      <c r="H173" s="15">
        <f>Неделя!M174</f>
        <v>0</v>
      </c>
    </row>
    <row r="174" spans="1:8" hidden="1">
      <c r="A174" s="15">
        <f>Неделя!A175</f>
        <v>0</v>
      </c>
      <c r="B174" s="15">
        <f>Неделя!B175</f>
        <v>0</v>
      </c>
      <c r="C174" s="15">
        <f>Неделя!C175</f>
        <v>0</v>
      </c>
      <c r="D174" s="15">
        <f>Неделя!D175</f>
        <v>0</v>
      </c>
      <c r="E174" s="15">
        <f>Неделя!E175</f>
        <v>0</v>
      </c>
      <c r="F174" s="15">
        <f>Неделя!F175</f>
        <v>0</v>
      </c>
      <c r="G174" s="15">
        <f>Неделя!G175</f>
        <v>0</v>
      </c>
      <c r="H174" s="15">
        <f>Неделя!M175</f>
        <v>0</v>
      </c>
    </row>
    <row r="175" spans="1:8" hidden="1">
      <c r="A175" s="15">
        <f>Неделя!A176</f>
        <v>0</v>
      </c>
      <c r="B175" s="15">
        <f>Неделя!B176</f>
        <v>0</v>
      </c>
      <c r="C175" s="15">
        <f>Неделя!C176</f>
        <v>0</v>
      </c>
      <c r="D175" s="15">
        <f>Неделя!D176</f>
        <v>0</v>
      </c>
      <c r="E175" s="15">
        <f>Неделя!E176</f>
        <v>0</v>
      </c>
      <c r="F175" s="15">
        <f>Неделя!F176</f>
        <v>0</v>
      </c>
      <c r="G175" s="15">
        <f>Неделя!G176</f>
        <v>0</v>
      </c>
      <c r="H175" s="15">
        <f>Неделя!M176</f>
        <v>0</v>
      </c>
    </row>
    <row r="176" spans="1:8" hidden="1">
      <c r="A176" s="15">
        <f>Неделя!A177</f>
        <v>0</v>
      </c>
      <c r="B176" s="15">
        <f>Неделя!B177</f>
        <v>0</v>
      </c>
      <c r="C176" s="15">
        <f>Неделя!C177</f>
        <v>0</v>
      </c>
      <c r="D176" s="15">
        <f>Неделя!D177</f>
        <v>0</v>
      </c>
      <c r="E176" s="15">
        <f>Неделя!E177</f>
        <v>0</v>
      </c>
      <c r="F176" s="15">
        <f>Неделя!F177</f>
        <v>0</v>
      </c>
      <c r="G176" s="15">
        <f>Неделя!G177</f>
        <v>0</v>
      </c>
      <c r="H176" s="15">
        <f>Неделя!M177</f>
        <v>0</v>
      </c>
    </row>
    <row r="177" spans="1:8" hidden="1">
      <c r="A177" s="15">
        <f>Неделя!A178</f>
        <v>0</v>
      </c>
      <c r="B177" s="15">
        <f>Неделя!B178</f>
        <v>0</v>
      </c>
      <c r="C177" s="15">
        <f>Неделя!C178</f>
        <v>0</v>
      </c>
      <c r="D177" s="15">
        <f>Неделя!D178</f>
        <v>0</v>
      </c>
      <c r="E177" s="15">
        <f>Неделя!E178</f>
        <v>0</v>
      </c>
      <c r="F177" s="15">
        <f>Неделя!F178</f>
        <v>0</v>
      </c>
      <c r="G177" s="15">
        <f>Неделя!G178</f>
        <v>0</v>
      </c>
      <c r="H177" s="15">
        <f>Неделя!M178</f>
        <v>0</v>
      </c>
    </row>
    <row r="178" spans="1:8" hidden="1">
      <c r="A178" s="15">
        <f>Неделя!A179</f>
        <v>0</v>
      </c>
      <c r="B178" s="15">
        <f>Неделя!B179</f>
        <v>0</v>
      </c>
      <c r="C178" s="15">
        <f>Неделя!C179</f>
        <v>0</v>
      </c>
      <c r="D178" s="15">
        <f>Неделя!D179</f>
        <v>0</v>
      </c>
      <c r="E178" s="15">
        <f>Неделя!E179</f>
        <v>0</v>
      </c>
      <c r="F178" s="15">
        <f>Неделя!F179</f>
        <v>0</v>
      </c>
      <c r="G178" s="15">
        <f>Неделя!G179</f>
        <v>0</v>
      </c>
      <c r="H178" s="15">
        <f>Неделя!M179</f>
        <v>0</v>
      </c>
    </row>
    <row r="179" spans="1:8" hidden="1">
      <c r="A179" s="15">
        <f>Неделя!A180</f>
        <v>0</v>
      </c>
      <c r="B179" s="15">
        <f>Неделя!B180</f>
        <v>0</v>
      </c>
      <c r="C179" s="15">
        <f>Неделя!C180</f>
        <v>0</v>
      </c>
      <c r="D179" s="15">
        <f>Неделя!D180</f>
        <v>0</v>
      </c>
      <c r="E179" s="15">
        <f>Неделя!E180</f>
        <v>0</v>
      </c>
      <c r="F179" s="15">
        <f>Неделя!F180</f>
        <v>0</v>
      </c>
      <c r="G179" s="15">
        <f>Неделя!G180</f>
        <v>0</v>
      </c>
      <c r="H179" s="15">
        <f>Неделя!M180</f>
        <v>0</v>
      </c>
    </row>
    <row r="180" spans="1:8" hidden="1">
      <c r="A180" s="15">
        <f>Неделя!A181</f>
        <v>0</v>
      </c>
      <c r="B180" s="15">
        <f>Неделя!B181</f>
        <v>0</v>
      </c>
      <c r="C180" s="15">
        <f>Неделя!C181</f>
        <v>0</v>
      </c>
      <c r="D180" s="15">
        <f>Неделя!D181</f>
        <v>0</v>
      </c>
      <c r="E180" s="15">
        <f>Неделя!E181</f>
        <v>0</v>
      </c>
      <c r="F180" s="15">
        <f>Неделя!F181</f>
        <v>0</v>
      </c>
      <c r="G180" s="15">
        <f>Неделя!G181</f>
        <v>0</v>
      </c>
      <c r="H180" s="15">
        <f>Неделя!M181</f>
        <v>0</v>
      </c>
    </row>
    <row r="181" spans="1:8" hidden="1">
      <c r="A181" s="15">
        <f>Неделя!A182</f>
        <v>0</v>
      </c>
      <c r="B181" s="15">
        <f>Неделя!B182</f>
        <v>0</v>
      </c>
      <c r="C181" s="15">
        <f>Неделя!C182</f>
        <v>0</v>
      </c>
      <c r="D181" s="15">
        <f>Неделя!D182</f>
        <v>0</v>
      </c>
      <c r="E181" s="15">
        <f>Неделя!E182</f>
        <v>0</v>
      </c>
      <c r="F181" s="15">
        <f>Неделя!F182</f>
        <v>0</v>
      </c>
      <c r="G181" s="15">
        <f>Неделя!G182</f>
        <v>0</v>
      </c>
      <c r="H181" s="15">
        <f>Неделя!M182</f>
        <v>0</v>
      </c>
    </row>
    <row r="182" spans="1:8" hidden="1">
      <c r="A182" s="15">
        <f>Неделя!A183</f>
        <v>0</v>
      </c>
      <c r="B182" s="15">
        <f>Неделя!B183</f>
        <v>0</v>
      </c>
      <c r="C182" s="15">
        <f>Неделя!C183</f>
        <v>0</v>
      </c>
      <c r="D182" s="15">
        <f>Неделя!D183</f>
        <v>0</v>
      </c>
      <c r="E182" s="15">
        <f>Неделя!E183</f>
        <v>0</v>
      </c>
      <c r="F182" s="15">
        <f>Неделя!F183</f>
        <v>0</v>
      </c>
      <c r="G182" s="15">
        <f>Неделя!G183</f>
        <v>0</v>
      </c>
      <c r="H182" s="15">
        <f>Неделя!M183</f>
        <v>0</v>
      </c>
    </row>
    <row r="183" spans="1:8" hidden="1">
      <c r="A183" s="15">
        <f>Неделя!A184</f>
        <v>0</v>
      </c>
      <c r="B183" s="15">
        <f>Неделя!B184</f>
        <v>0</v>
      </c>
      <c r="C183" s="15">
        <f>Неделя!C184</f>
        <v>0</v>
      </c>
      <c r="D183" s="15">
        <f>Неделя!D184</f>
        <v>0</v>
      </c>
      <c r="E183" s="15">
        <f>Неделя!E184</f>
        <v>0</v>
      </c>
      <c r="F183" s="15">
        <f>Неделя!F184</f>
        <v>0</v>
      </c>
      <c r="G183" s="15">
        <f>Неделя!G184</f>
        <v>0</v>
      </c>
      <c r="H183" s="15">
        <f>Неделя!M184</f>
        <v>0</v>
      </c>
    </row>
    <row r="184" spans="1:8" hidden="1">
      <c r="A184" s="15">
        <f>Неделя!A185</f>
        <v>0</v>
      </c>
      <c r="B184" s="15">
        <f>Неделя!B185</f>
        <v>0</v>
      </c>
      <c r="C184" s="15">
        <f>Неделя!C185</f>
        <v>0</v>
      </c>
      <c r="D184" s="15">
        <f>Неделя!D185</f>
        <v>0</v>
      </c>
      <c r="E184" s="15">
        <f>Неделя!E185</f>
        <v>0</v>
      </c>
      <c r="F184" s="15">
        <f>Неделя!F185</f>
        <v>0</v>
      </c>
      <c r="G184" s="15">
        <f>Неделя!G185</f>
        <v>0</v>
      </c>
      <c r="H184" s="15">
        <f>Неделя!M185</f>
        <v>0</v>
      </c>
    </row>
    <row r="185" spans="1:8" hidden="1">
      <c r="A185" s="15">
        <f>Неделя!A186</f>
        <v>0</v>
      </c>
      <c r="B185" s="15">
        <f>Неделя!B186</f>
        <v>0</v>
      </c>
      <c r="C185" s="15">
        <f>Неделя!C186</f>
        <v>0</v>
      </c>
      <c r="D185" s="15">
        <f>Неделя!D186</f>
        <v>0</v>
      </c>
      <c r="E185" s="15">
        <f>Неделя!E186</f>
        <v>0</v>
      </c>
      <c r="F185" s="15">
        <f>Неделя!F186</f>
        <v>0</v>
      </c>
      <c r="G185" s="15">
        <f>Неделя!G186</f>
        <v>0</v>
      </c>
      <c r="H185" s="15">
        <f>Неделя!M186</f>
        <v>0</v>
      </c>
    </row>
    <row r="186" spans="1:8" hidden="1">
      <c r="A186" s="15">
        <f>Неделя!A187</f>
        <v>0</v>
      </c>
      <c r="B186" s="15">
        <f>Неделя!B187</f>
        <v>0</v>
      </c>
      <c r="C186" s="15">
        <f>Неделя!C187</f>
        <v>0</v>
      </c>
      <c r="D186" s="15">
        <f>Неделя!D187</f>
        <v>0</v>
      </c>
      <c r="E186" s="15">
        <f>Неделя!E187</f>
        <v>0</v>
      </c>
      <c r="F186" s="15">
        <f>Неделя!F187</f>
        <v>0</v>
      </c>
      <c r="G186" s="15">
        <f>Неделя!G187</f>
        <v>0</v>
      </c>
      <c r="H186" s="15">
        <f>Неделя!M187</f>
        <v>0</v>
      </c>
    </row>
    <row r="187" spans="1:8" hidden="1">
      <c r="A187" s="15">
        <f>Неделя!A188</f>
        <v>0</v>
      </c>
      <c r="B187" s="15">
        <f>Неделя!B188</f>
        <v>0</v>
      </c>
      <c r="C187" s="15">
        <f>Неделя!C188</f>
        <v>0</v>
      </c>
      <c r="D187" s="15">
        <f>Неделя!D188</f>
        <v>0</v>
      </c>
      <c r="E187" s="15">
        <f>Неделя!E188</f>
        <v>0</v>
      </c>
      <c r="F187" s="15">
        <f>Неделя!F188</f>
        <v>0</v>
      </c>
      <c r="G187" s="15">
        <f>Неделя!G188</f>
        <v>0</v>
      </c>
      <c r="H187" s="15">
        <f>Неделя!M188</f>
        <v>0</v>
      </c>
    </row>
    <row r="188" spans="1:8" hidden="1">
      <c r="A188" s="15">
        <f>Неделя!A189</f>
        <v>0</v>
      </c>
      <c r="B188" s="15">
        <f>Неделя!B189</f>
        <v>0</v>
      </c>
      <c r="C188" s="15">
        <f>Неделя!C189</f>
        <v>0</v>
      </c>
      <c r="D188" s="15">
        <f>Неделя!D189</f>
        <v>0</v>
      </c>
      <c r="E188" s="15">
        <f>Неделя!E189</f>
        <v>0</v>
      </c>
      <c r="F188" s="15">
        <f>Неделя!F189</f>
        <v>0</v>
      </c>
      <c r="G188" s="15">
        <f>Неделя!G189</f>
        <v>0</v>
      </c>
      <c r="H188" s="15">
        <f>Неделя!M189</f>
        <v>0</v>
      </c>
    </row>
    <row r="189" spans="1:8" hidden="1">
      <c r="A189" s="15">
        <f>Неделя!A190</f>
        <v>0</v>
      </c>
      <c r="B189" s="15">
        <f>Неделя!B190</f>
        <v>0</v>
      </c>
      <c r="C189" s="15">
        <f>Неделя!C190</f>
        <v>0</v>
      </c>
      <c r="D189" s="15">
        <f>Неделя!D190</f>
        <v>0</v>
      </c>
      <c r="E189" s="15">
        <f>Неделя!E190</f>
        <v>0</v>
      </c>
      <c r="F189" s="15">
        <f>Неделя!F190</f>
        <v>0</v>
      </c>
      <c r="G189" s="15">
        <f>Неделя!G190</f>
        <v>0</v>
      </c>
      <c r="H189" s="15">
        <f>Неделя!M190</f>
        <v>0</v>
      </c>
    </row>
    <row r="190" spans="1:8" hidden="1">
      <c r="A190" s="15">
        <f>Неделя!A191</f>
        <v>0</v>
      </c>
      <c r="B190" s="15">
        <f>Неделя!B191</f>
        <v>0</v>
      </c>
      <c r="C190" s="15">
        <f>Неделя!C191</f>
        <v>0</v>
      </c>
      <c r="D190" s="15">
        <f>Неделя!D191</f>
        <v>0</v>
      </c>
      <c r="E190" s="15">
        <f>Неделя!E191</f>
        <v>0</v>
      </c>
      <c r="F190" s="15">
        <f>Неделя!F191</f>
        <v>0</v>
      </c>
      <c r="G190" s="15">
        <f>Неделя!G191</f>
        <v>0</v>
      </c>
      <c r="H190" s="15">
        <f>Неделя!M191</f>
        <v>0</v>
      </c>
    </row>
    <row r="191" spans="1:8" hidden="1">
      <c r="A191" s="15">
        <f>Неделя!A192</f>
        <v>0</v>
      </c>
      <c r="B191" s="15">
        <f>Неделя!B192</f>
        <v>0</v>
      </c>
      <c r="C191" s="15">
        <f>Неделя!C192</f>
        <v>0</v>
      </c>
      <c r="D191" s="15">
        <f>Неделя!D192</f>
        <v>0</v>
      </c>
      <c r="E191" s="15">
        <f>Неделя!E192</f>
        <v>0</v>
      </c>
      <c r="F191" s="15">
        <f>Неделя!F192</f>
        <v>0</v>
      </c>
      <c r="G191" s="15">
        <f>Неделя!G192</f>
        <v>0</v>
      </c>
      <c r="H191" s="15">
        <f>Неделя!M192</f>
        <v>0</v>
      </c>
    </row>
    <row r="192" spans="1:8" hidden="1">
      <c r="A192" s="15">
        <f>Неделя!A193</f>
        <v>0</v>
      </c>
      <c r="B192" s="15">
        <f>Неделя!B193</f>
        <v>0</v>
      </c>
      <c r="C192" s="15">
        <f>Неделя!C193</f>
        <v>0</v>
      </c>
      <c r="D192" s="15">
        <f>Неделя!D193</f>
        <v>0</v>
      </c>
      <c r="E192" s="15">
        <f>Неделя!E193</f>
        <v>0</v>
      </c>
      <c r="F192" s="15">
        <f>Неделя!F193</f>
        <v>0</v>
      </c>
      <c r="G192" s="15">
        <f>Неделя!G193</f>
        <v>0</v>
      </c>
      <c r="H192" s="15">
        <f>Неделя!M193</f>
        <v>0</v>
      </c>
    </row>
    <row r="193" spans="1:8" hidden="1">
      <c r="A193" s="15">
        <f>Неделя!A194</f>
        <v>0</v>
      </c>
      <c r="B193" s="15">
        <f>Неделя!B194</f>
        <v>0</v>
      </c>
      <c r="C193" s="15">
        <f>Неделя!C194</f>
        <v>0</v>
      </c>
      <c r="D193" s="15">
        <f>Неделя!D194</f>
        <v>0</v>
      </c>
      <c r="E193" s="15">
        <f>Неделя!E194</f>
        <v>0</v>
      </c>
      <c r="F193" s="15">
        <f>Неделя!F194</f>
        <v>0</v>
      </c>
      <c r="G193" s="15">
        <f>Неделя!G194</f>
        <v>0</v>
      </c>
      <c r="H193" s="15">
        <f>Неделя!M194</f>
        <v>0</v>
      </c>
    </row>
    <row r="194" spans="1:8" hidden="1">
      <c r="A194" s="15">
        <f>Неделя!A195</f>
        <v>0</v>
      </c>
      <c r="B194" s="15">
        <f>Неделя!B195</f>
        <v>0</v>
      </c>
      <c r="C194" s="15">
        <f>Неделя!C195</f>
        <v>0</v>
      </c>
      <c r="D194" s="15">
        <f>Неделя!D195</f>
        <v>0</v>
      </c>
      <c r="E194" s="15">
        <f>Неделя!E195</f>
        <v>0</v>
      </c>
      <c r="F194" s="15">
        <f>Неделя!F195</f>
        <v>0</v>
      </c>
      <c r="G194" s="15">
        <f>Неделя!G195</f>
        <v>0</v>
      </c>
      <c r="H194" s="15">
        <f>Неделя!M195</f>
        <v>0</v>
      </c>
    </row>
    <row r="195" spans="1:8" hidden="1">
      <c r="A195" s="15">
        <f>Неделя!A196</f>
        <v>0</v>
      </c>
      <c r="B195" s="15">
        <f>Неделя!B196</f>
        <v>0</v>
      </c>
      <c r="C195" s="15">
        <f>Неделя!C196</f>
        <v>0</v>
      </c>
      <c r="D195" s="15">
        <f>Неделя!D196</f>
        <v>0</v>
      </c>
      <c r="E195" s="15">
        <f>Неделя!E196</f>
        <v>0</v>
      </c>
      <c r="F195" s="15">
        <f>Неделя!F196</f>
        <v>0</v>
      </c>
      <c r="G195" s="15">
        <f>Неделя!G196</f>
        <v>0</v>
      </c>
      <c r="H195" s="15">
        <f>Неделя!M196</f>
        <v>0</v>
      </c>
    </row>
    <row r="196" spans="1:8" hidden="1">
      <c r="A196" s="15">
        <f>Неделя!A197</f>
        <v>0</v>
      </c>
      <c r="B196" s="15">
        <f>Неделя!B197</f>
        <v>0</v>
      </c>
      <c r="C196" s="15">
        <f>Неделя!C197</f>
        <v>0</v>
      </c>
      <c r="D196" s="15">
        <f>Неделя!D197</f>
        <v>0</v>
      </c>
      <c r="E196" s="15">
        <f>Неделя!E197</f>
        <v>0</v>
      </c>
      <c r="F196" s="15">
        <f>Неделя!F197</f>
        <v>0</v>
      </c>
      <c r="G196" s="15">
        <f>Неделя!G197</f>
        <v>0</v>
      </c>
      <c r="H196" s="15">
        <f>Неделя!M197</f>
        <v>0</v>
      </c>
    </row>
    <row r="197" spans="1:8" hidden="1">
      <c r="A197" s="15">
        <f>Неделя!A198</f>
        <v>0</v>
      </c>
      <c r="B197" s="15">
        <f>Неделя!B198</f>
        <v>0</v>
      </c>
      <c r="C197" s="15">
        <f>Неделя!C198</f>
        <v>0</v>
      </c>
      <c r="D197" s="15">
        <f>Неделя!D198</f>
        <v>0</v>
      </c>
      <c r="E197" s="15">
        <f>Неделя!E198</f>
        <v>0</v>
      </c>
      <c r="F197" s="15">
        <f>Неделя!F198</f>
        <v>0</v>
      </c>
      <c r="G197" s="15">
        <f>Неделя!G198</f>
        <v>0</v>
      </c>
      <c r="H197" s="15">
        <f>Неделя!M198</f>
        <v>0</v>
      </c>
    </row>
    <row r="198" spans="1:8" hidden="1">
      <c r="A198" s="15">
        <f>Неделя!A199</f>
        <v>0</v>
      </c>
      <c r="B198" s="15">
        <f>Неделя!B199</f>
        <v>0</v>
      </c>
      <c r="C198" s="15">
        <f>Неделя!C199</f>
        <v>0</v>
      </c>
      <c r="D198" s="15">
        <f>Неделя!D199</f>
        <v>0</v>
      </c>
      <c r="E198" s="15">
        <f>Неделя!E199</f>
        <v>0</v>
      </c>
      <c r="F198" s="15">
        <f>Неделя!F199</f>
        <v>0</v>
      </c>
      <c r="G198" s="15">
        <f>Неделя!G199</f>
        <v>0</v>
      </c>
      <c r="H198" s="15">
        <f>Неделя!M199</f>
        <v>0</v>
      </c>
    </row>
    <row r="199" spans="1:8" hidden="1">
      <c r="A199" s="15">
        <f>Неделя!A200</f>
        <v>0</v>
      </c>
      <c r="B199" s="15">
        <f>Неделя!B200</f>
        <v>0</v>
      </c>
      <c r="C199" s="15">
        <f>Неделя!C200</f>
        <v>0</v>
      </c>
      <c r="D199" s="15">
        <f>Неделя!D200</f>
        <v>0</v>
      </c>
      <c r="E199" s="15">
        <f>Неделя!E200</f>
        <v>0</v>
      </c>
      <c r="F199" s="15">
        <f>Неделя!F200</f>
        <v>0</v>
      </c>
      <c r="G199" s="15">
        <f>Неделя!G200</f>
        <v>0</v>
      </c>
      <c r="H199" s="15">
        <f>Неделя!M200</f>
        <v>0</v>
      </c>
    </row>
    <row r="200" spans="1:8" hidden="1">
      <c r="A200" s="15">
        <f>Неделя!A201</f>
        <v>0</v>
      </c>
      <c r="B200" s="15">
        <f>Неделя!B201</f>
        <v>0</v>
      </c>
      <c r="C200" s="15">
        <f>Неделя!C201</f>
        <v>0</v>
      </c>
      <c r="D200" s="15">
        <f>Неделя!D201</f>
        <v>0</v>
      </c>
      <c r="E200" s="15">
        <f>Неделя!E201</f>
        <v>0</v>
      </c>
      <c r="F200" s="15">
        <f>Неделя!F201</f>
        <v>0</v>
      </c>
      <c r="G200" s="15">
        <f>Неделя!G201</f>
        <v>0</v>
      </c>
      <c r="H200" s="15">
        <f>Неделя!M201</f>
        <v>0</v>
      </c>
    </row>
    <row r="201" spans="1:8" hidden="1">
      <c r="A201" s="15">
        <f>Неделя!A202</f>
        <v>0</v>
      </c>
      <c r="B201" s="15">
        <f>Неделя!B202</f>
        <v>0</v>
      </c>
      <c r="C201" s="15">
        <f>Неделя!C202</f>
        <v>0</v>
      </c>
      <c r="D201" s="15">
        <f>Неделя!D202</f>
        <v>0</v>
      </c>
      <c r="E201" s="15">
        <f>Неделя!E202</f>
        <v>0</v>
      </c>
      <c r="F201" s="15">
        <f>Неделя!F202</f>
        <v>0</v>
      </c>
      <c r="G201" s="15">
        <f>Неделя!G202</f>
        <v>0</v>
      </c>
      <c r="H201" s="15">
        <f>Неделя!M202</f>
        <v>0</v>
      </c>
    </row>
    <row r="202" spans="1:8" hidden="1">
      <c r="A202" s="15">
        <f>Неделя!A203</f>
        <v>0</v>
      </c>
      <c r="B202" s="15">
        <f>Неделя!B203</f>
        <v>0</v>
      </c>
      <c r="C202" s="15">
        <f>Неделя!C203</f>
        <v>0</v>
      </c>
      <c r="D202" s="15">
        <f>Неделя!D203</f>
        <v>0</v>
      </c>
      <c r="E202" s="15">
        <f>Неделя!E203</f>
        <v>0</v>
      </c>
      <c r="F202" s="15">
        <f>Неделя!F203</f>
        <v>0</v>
      </c>
      <c r="G202" s="15">
        <f>Неделя!G203</f>
        <v>0</v>
      </c>
      <c r="H202" s="15">
        <f>Неделя!M203</f>
        <v>0</v>
      </c>
    </row>
    <row r="203" spans="1:8" hidden="1">
      <c r="A203" s="15">
        <f>Неделя!A204</f>
        <v>0</v>
      </c>
      <c r="B203" s="15">
        <f>Неделя!B204</f>
        <v>0</v>
      </c>
      <c r="C203" s="15">
        <f>Неделя!C204</f>
        <v>0</v>
      </c>
      <c r="D203" s="15">
        <f>Неделя!D204</f>
        <v>0</v>
      </c>
      <c r="E203" s="15">
        <f>Неделя!E204</f>
        <v>0</v>
      </c>
      <c r="F203" s="15">
        <f>Неделя!F204</f>
        <v>0</v>
      </c>
      <c r="G203" s="15">
        <f>Неделя!G204</f>
        <v>0</v>
      </c>
      <c r="H203" s="15">
        <f>Неделя!M204</f>
        <v>0</v>
      </c>
    </row>
    <row r="204" spans="1:8" hidden="1">
      <c r="A204" s="15">
        <f>Неделя!A205</f>
        <v>0</v>
      </c>
      <c r="B204" s="15">
        <f>Неделя!B205</f>
        <v>0</v>
      </c>
      <c r="C204" s="15">
        <f>Неделя!C205</f>
        <v>0</v>
      </c>
      <c r="D204" s="15">
        <f>Неделя!D205</f>
        <v>0</v>
      </c>
      <c r="E204" s="15">
        <f>Неделя!E205</f>
        <v>0</v>
      </c>
      <c r="F204" s="15">
        <f>Неделя!F205</f>
        <v>0</v>
      </c>
      <c r="G204" s="15">
        <f>Неделя!G205</f>
        <v>0</v>
      </c>
      <c r="H204" s="15">
        <f>Неделя!M205</f>
        <v>0</v>
      </c>
    </row>
    <row r="205" spans="1:8" hidden="1">
      <c r="A205" s="15">
        <f>Неделя!A206</f>
        <v>0</v>
      </c>
      <c r="B205" s="15">
        <f>Неделя!B206</f>
        <v>0</v>
      </c>
      <c r="C205" s="15">
        <f>Неделя!C206</f>
        <v>0</v>
      </c>
      <c r="D205" s="15">
        <f>Неделя!D206</f>
        <v>0</v>
      </c>
      <c r="E205" s="15">
        <f>Неделя!E206</f>
        <v>0</v>
      </c>
      <c r="F205" s="15">
        <f>Неделя!F206</f>
        <v>0</v>
      </c>
      <c r="G205" s="15">
        <f>Неделя!G206</f>
        <v>0</v>
      </c>
      <c r="H205" s="15">
        <f>Неделя!M206</f>
        <v>0</v>
      </c>
    </row>
    <row r="206" spans="1:8" hidden="1">
      <c r="A206" s="15">
        <f>Неделя!A207</f>
        <v>0</v>
      </c>
      <c r="B206" s="15">
        <f>Неделя!B207</f>
        <v>0</v>
      </c>
      <c r="C206" s="15">
        <f>Неделя!C207</f>
        <v>0</v>
      </c>
      <c r="D206" s="15">
        <f>Неделя!D207</f>
        <v>0</v>
      </c>
      <c r="E206" s="15">
        <f>Неделя!E207</f>
        <v>0</v>
      </c>
      <c r="F206" s="15">
        <f>Неделя!F207</f>
        <v>0</v>
      </c>
      <c r="G206" s="15">
        <f>Неделя!G207</f>
        <v>0</v>
      </c>
      <c r="H206" s="15">
        <f>Неделя!M207</f>
        <v>0</v>
      </c>
    </row>
    <row r="207" spans="1:8" hidden="1">
      <c r="A207" s="15">
        <f>Неделя!A208</f>
        <v>0</v>
      </c>
      <c r="B207" s="15">
        <f>Неделя!B208</f>
        <v>0</v>
      </c>
      <c r="C207" s="15">
        <f>Неделя!C208</f>
        <v>0</v>
      </c>
      <c r="D207" s="15">
        <f>Неделя!D208</f>
        <v>0</v>
      </c>
      <c r="E207" s="15">
        <f>Неделя!E208</f>
        <v>0</v>
      </c>
      <c r="F207" s="15">
        <f>Неделя!F208</f>
        <v>0</v>
      </c>
      <c r="G207" s="15">
        <f>Неделя!G208</f>
        <v>0</v>
      </c>
      <c r="H207" s="15">
        <f>Неделя!M208</f>
        <v>0</v>
      </c>
    </row>
    <row r="208" spans="1:8" hidden="1">
      <c r="A208" s="15">
        <f>Неделя!A209</f>
        <v>0</v>
      </c>
      <c r="B208" s="15">
        <f>Неделя!B209</f>
        <v>0</v>
      </c>
      <c r="C208" s="15">
        <f>Неделя!C209</f>
        <v>0</v>
      </c>
      <c r="D208" s="15">
        <f>Неделя!D209</f>
        <v>0</v>
      </c>
      <c r="E208" s="15">
        <f>Неделя!E209</f>
        <v>0</v>
      </c>
      <c r="F208" s="15">
        <f>Неделя!F209</f>
        <v>0</v>
      </c>
      <c r="G208" s="15">
        <f>Неделя!G209</f>
        <v>0</v>
      </c>
      <c r="H208" s="15">
        <f>Неделя!M209</f>
        <v>0</v>
      </c>
    </row>
    <row r="209" spans="1:8" hidden="1">
      <c r="A209" s="15">
        <f>Неделя!A210</f>
        <v>0</v>
      </c>
      <c r="B209" s="15">
        <f>Неделя!B210</f>
        <v>0</v>
      </c>
      <c r="C209" s="15">
        <f>Неделя!C210</f>
        <v>0</v>
      </c>
      <c r="D209" s="15">
        <f>Неделя!D210</f>
        <v>0</v>
      </c>
      <c r="E209" s="15">
        <f>Неделя!E210</f>
        <v>0</v>
      </c>
      <c r="F209" s="15">
        <f>Неделя!F210</f>
        <v>0</v>
      </c>
      <c r="G209" s="15">
        <f>Неделя!G210</f>
        <v>0</v>
      </c>
      <c r="H209" s="15">
        <f>Неделя!M210</f>
        <v>0</v>
      </c>
    </row>
    <row r="210" spans="1:8" hidden="1">
      <c r="A210" s="15">
        <f>Неделя!A211</f>
        <v>0</v>
      </c>
      <c r="B210" s="15">
        <f>Неделя!B211</f>
        <v>0</v>
      </c>
      <c r="C210" s="15">
        <f>Неделя!C211</f>
        <v>0</v>
      </c>
      <c r="D210" s="15">
        <f>Неделя!D211</f>
        <v>0</v>
      </c>
      <c r="E210" s="15">
        <f>Неделя!E211</f>
        <v>0</v>
      </c>
      <c r="F210" s="15">
        <f>Неделя!F211</f>
        <v>0</v>
      </c>
      <c r="G210" s="15">
        <f>Неделя!G211</f>
        <v>0</v>
      </c>
      <c r="H210" s="15">
        <f>Неделя!M211</f>
        <v>0</v>
      </c>
    </row>
    <row r="211" spans="1:8" hidden="1">
      <c r="A211" s="15">
        <f>Неделя!A212</f>
        <v>0</v>
      </c>
      <c r="B211" s="15">
        <f>Неделя!B212</f>
        <v>0</v>
      </c>
      <c r="C211" s="15">
        <f>Неделя!C212</f>
        <v>0</v>
      </c>
      <c r="D211" s="15">
        <f>Неделя!D212</f>
        <v>0</v>
      </c>
      <c r="E211" s="15">
        <f>Неделя!E212</f>
        <v>0</v>
      </c>
      <c r="F211" s="15">
        <f>Неделя!F212</f>
        <v>0</v>
      </c>
      <c r="G211" s="15">
        <f>Неделя!G212</f>
        <v>0</v>
      </c>
      <c r="H211" s="15">
        <f>Неделя!M212</f>
        <v>0</v>
      </c>
    </row>
    <row r="212" spans="1:8" hidden="1">
      <c r="A212" s="15">
        <f>Неделя!A213</f>
        <v>0</v>
      </c>
      <c r="B212" s="15">
        <f>Неделя!B213</f>
        <v>0</v>
      </c>
      <c r="C212" s="15">
        <f>Неделя!C213</f>
        <v>0</v>
      </c>
      <c r="D212" s="15">
        <f>Неделя!D213</f>
        <v>0</v>
      </c>
      <c r="E212" s="15">
        <f>Неделя!E213</f>
        <v>0</v>
      </c>
      <c r="F212" s="15">
        <f>Неделя!F213</f>
        <v>0</v>
      </c>
      <c r="G212" s="15">
        <f>Неделя!G213</f>
        <v>0</v>
      </c>
      <c r="H212" s="15">
        <f>Неделя!M213</f>
        <v>0</v>
      </c>
    </row>
    <row r="213" spans="1:8" hidden="1">
      <c r="A213" s="15">
        <f>Неделя!A214</f>
        <v>0</v>
      </c>
      <c r="B213" s="15">
        <f>Неделя!B214</f>
        <v>0</v>
      </c>
      <c r="C213" s="15">
        <f>Неделя!C214</f>
        <v>0</v>
      </c>
      <c r="D213" s="15">
        <f>Неделя!D214</f>
        <v>0</v>
      </c>
      <c r="E213" s="15">
        <f>Неделя!E214</f>
        <v>0</v>
      </c>
      <c r="F213" s="15">
        <f>Неделя!F214</f>
        <v>0</v>
      </c>
      <c r="G213" s="15">
        <f>Неделя!G214</f>
        <v>0</v>
      </c>
      <c r="H213" s="15">
        <f>Неделя!M214</f>
        <v>0</v>
      </c>
    </row>
    <row r="214" spans="1:8" hidden="1">
      <c r="A214" s="15">
        <f>Неделя!A215</f>
        <v>0</v>
      </c>
      <c r="B214" s="15">
        <f>Неделя!B215</f>
        <v>0</v>
      </c>
      <c r="C214" s="15">
        <f>Неделя!C215</f>
        <v>0</v>
      </c>
      <c r="D214" s="15">
        <f>Неделя!D215</f>
        <v>0</v>
      </c>
      <c r="E214" s="15">
        <f>Неделя!E215</f>
        <v>0</v>
      </c>
      <c r="F214" s="15">
        <f>Неделя!F215</f>
        <v>0</v>
      </c>
      <c r="G214" s="15">
        <f>Неделя!G215</f>
        <v>0</v>
      </c>
      <c r="H214" s="15">
        <f>Неделя!M215</f>
        <v>0</v>
      </c>
    </row>
    <row r="215" spans="1:8" hidden="1">
      <c r="A215" s="15">
        <f>Неделя!A216</f>
        <v>0</v>
      </c>
      <c r="B215" s="15">
        <f>Неделя!B216</f>
        <v>0</v>
      </c>
      <c r="C215" s="15">
        <f>Неделя!C216</f>
        <v>0</v>
      </c>
      <c r="D215" s="15">
        <f>Неделя!D216</f>
        <v>0</v>
      </c>
      <c r="E215" s="15">
        <f>Неделя!E216</f>
        <v>0</v>
      </c>
      <c r="F215" s="15">
        <f>Неделя!F216</f>
        <v>0</v>
      </c>
      <c r="G215" s="15">
        <f>Неделя!G216</f>
        <v>0</v>
      </c>
      <c r="H215" s="15">
        <f>Неделя!M216</f>
        <v>0</v>
      </c>
    </row>
    <row r="216" spans="1:8" hidden="1">
      <c r="A216" s="15">
        <f>Неделя!A217</f>
        <v>0</v>
      </c>
      <c r="B216" s="15">
        <f>Неделя!B217</f>
        <v>0</v>
      </c>
      <c r="C216" s="15">
        <f>Неделя!C217</f>
        <v>0</v>
      </c>
      <c r="D216" s="15">
        <f>Неделя!D217</f>
        <v>0</v>
      </c>
      <c r="E216" s="15">
        <f>Неделя!E217</f>
        <v>0</v>
      </c>
      <c r="F216" s="15">
        <f>Неделя!F217</f>
        <v>0</v>
      </c>
      <c r="G216" s="15">
        <f>Неделя!G217</f>
        <v>0</v>
      </c>
      <c r="H216" s="15">
        <f>Неделя!M217</f>
        <v>0</v>
      </c>
    </row>
    <row r="217" spans="1:8" hidden="1">
      <c r="A217" s="15">
        <f>Неделя!A218</f>
        <v>0</v>
      </c>
      <c r="B217" s="15">
        <f>Неделя!B218</f>
        <v>0</v>
      </c>
      <c r="C217" s="15">
        <f>Неделя!C218</f>
        <v>0</v>
      </c>
      <c r="D217" s="15">
        <f>Неделя!D218</f>
        <v>0</v>
      </c>
      <c r="E217" s="15">
        <f>Неделя!E218</f>
        <v>0</v>
      </c>
      <c r="F217" s="15">
        <f>Неделя!F218</f>
        <v>0</v>
      </c>
      <c r="G217" s="15">
        <f>Неделя!G218</f>
        <v>0</v>
      </c>
      <c r="H217" s="15">
        <f>Неделя!M218</f>
        <v>0</v>
      </c>
    </row>
    <row r="218" spans="1:8" hidden="1">
      <c r="A218" s="15">
        <f>Неделя!A219</f>
        <v>0</v>
      </c>
      <c r="B218" s="15">
        <f>Неделя!B219</f>
        <v>0</v>
      </c>
      <c r="C218" s="15">
        <f>Неделя!C219</f>
        <v>0</v>
      </c>
      <c r="D218" s="15">
        <f>Неделя!D219</f>
        <v>0</v>
      </c>
      <c r="E218" s="15">
        <f>Неделя!E219</f>
        <v>0</v>
      </c>
      <c r="F218" s="15">
        <f>Неделя!F219</f>
        <v>0</v>
      </c>
      <c r="G218" s="15">
        <f>Неделя!G219</f>
        <v>0</v>
      </c>
      <c r="H218" s="15">
        <f>Неделя!M219</f>
        <v>0</v>
      </c>
    </row>
    <row r="219" spans="1:8" hidden="1">
      <c r="A219" s="15">
        <f>Неделя!A220</f>
        <v>0</v>
      </c>
      <c r="B219" s="15">
        <f>Неделя!B220</f>
        <v>0</v>
      </c>
      <c r="C219" s="15">
        <f>Неделя!C220</f>
        <v>0</v>
      </c>
      <c r="D219" s="15">
        <f>Неделя!D220</f>
        <v>0</v>
      </c>
      <c r="E219" s="15">
        <f>Неделя!E220</f>
        <v>0</v>
      </c>
      <c r="F219" s="15">
        <f>Неделя!F220</f>
        <v>0</v>
      </c>
      <c r="G219" s="15">
        <f>Неделя!G220</f>
        <v>0</v>
      </c>
      <c r="H219" s="15">
        <f>Неделя!M220</f>
        <v>0</v>
      </c>
    </row>
    <row r="220" spans="1:8" hidden="1">
      <c r="A220" s="15">
        <f>Неделя!A221</f>
        <v>0</v>
      </c>
      <c r="B220" s="15">
        <f>Неделя!B221</f>
        <v>0</v>
      </c>
      <c r="C220" s="15">
        <f>Неделя!C221</f>
        <v>0</v>
      </c>
      <c r="D220" s="15">
        <f>Неделя!D221</f>
        <v>0</v>
      </c>
      <c r="E220" s="15">
        <f>Неделя!E221</f>
        <v>0</v>
      </c>
      <c r="F220" s="15">
        <f>Неделя!F221</f>
        <v>0</v>
      </c>
      <c r="G220" s="15">
        <f>Неделя!G221</f>
        <v>0</v>
      </c>
      <c r="H220" s="15">
        <f>Неделя!M221</f>
        <v>0</v>
      </c>
    </row>
    <row r="221" spans="1:8" hidden="1">
      <c r="A221" s="15">
        <f>Неделя!A222</f>
        <v>0</v>
      </c>
      <c r="B221" s="15">
        <f>Неделя!B222</f>
        <v>0</v>
      </c>
      <c r="C221" s="15">
        <f>Неделя!C222</f>
        <v>0</v>
      </c>
      <c r="D221" s="15">
        <f>Неделя!D222</f>
        <v>0</v>
      </c>
      <c r="E221" s="15">
        <f>Неделя!E222</f>
        <v>0</v>
      </c>
      <c r="F221" s="15">
        <f>Неделя!F222</f>
        <v>0</v>
      </c>
      <c r="G221" s="15">
        <f>Неделя!G222</f>
        <v>0</v>
      </c>
      <c r="H221" s="15">
        <f>Неделя!M222</f>
        <v>0</v>
      </c>
    </row>
    <row r="222" spans="1:8" hidden="1">
      <c r="A222" s="15">
        <f>Неделя!A223</f>
        <v>0</v>
      </c>
      <c r="B222" s="15">
        <f>Неделя!B223</f>
        <v>0</v>
      </c>
      <c r="C222" s="15">
        <f>Неделя!C223</f>
        <v>0</v>
      </c>
      <c r="D222" s="15">
        <f>Неделя!D223</f>
        <v>0</v>
      </c>
      <c r="E222" s="15">
        <f>Неделя!E223</f>
        <v>0</v>
      </c>
      <c r="F222" s="15">
        <f>Неделя!F223</f>
        <v>0</v>
      </c>
      <c r="G222" s="15">
        <f>Неделя!G223</f>
        <v>0</v>
      </c>
      <c r="H222" s="15">
        <f>Неделя!M223</f>
        <v>0</v>
      </c>
    </row>
    <row r="223" spans="1:8" hidden="1">
      <c r="A223" s="15">
        <f>Неделя!A224</f>
        <v>0</v>
      </c>
      <c r="B223" s="15">
        <f>Неделя!B224</f>
        <v>0</v>
      </c>
      <c r="C223" s="15">
        <f>Неделя!C224</f>
        <v>0</v>
      </c>
      <c r="D223" s="15">
        <f>Неделя!D224</f>
        <v>0</v>
      </c>
      <c r="E223" s="15">
        <f>Неделя!E224</f>
        <v>0</v>
      </c>
      <c r="F223" s="15">
        <f>Неделя!F224</f>
        <v>0</v>
      </c>
      <c r="G223" s="15">
        <f>Неделя!G224</f>
        <v>0</v>
      </c>
      <c r="H223" s="15">
        <f>Неделя!M224</f>
        <v>0</v>
      </c>
    </row>
    <row r="224" spans="1:8" hidden="1">
      <c r="A224" s="15">
        <f>Неделя!A225</f>
        <v>0</v>
      </c>
      <c r="B224" s="15">
        <f>Неделя!B225</f>
        <v>0</v>
      </c>
      <c r="C224" s="15">
        <f>Неделя!C225</f>
        <v>0</v>
      </c>
      <c r="D224" s="15">
        <f>Неделя!D225</f>
        <v>0</v>
      </c>
      <c r="E224" s="15">
        <f>Неделя!E225</f>
        <v>0</v>
      </c>
      <c r="F224" s="15">
        <f>Неделя!F225</f>
        <v>0</v>
      </c>
      <c r="G224" s="15">
        <f>Неделя!G225</f>
        <v>0</v>
      </c>
      <c r="H224" s="15">
        <f>Неделя!M225</f>
        <v>0</v>
      </c>
    </row>
    <row r="225" spans="1:8" hidden="1">
      <c r="A225" s="15">
        <f>Неделя!A226</f>
        <v>0</v>
      </c>
      <c r="B225" s="15">
        <f>Неделя!B226</f>
        <v>0</v>
      </c>
      <c r="C225" s="15">
        <f>Неделя!C226</f>
        <v>0</v>
      </c>
      <c r="D225" s="15">
        <f>Неделя!D226</f>
        <v>0</v>
      </c>
      <c r="E225" s="15">
        <f>Неделя!E226</f>
        <v>0</v>
      </c>
      <c r="F225" s="15">
        <f>Неделя!F226</f>
        <v>0</v>
      </c>
      <c r="G225" s="15">
        <f>Неделя!G226</f>
        <v>0</v>
      </c>
      <c r="H225" s="15">
        <f>Неделя!M226</f>
        <v>0</v>
      </c>
    </row>
    <row r="226" spans="1:8" hidden="1">
      <c r="A226" s="15">
        <f>Неделя!A227</f>
        <v>0</v>
      </c>
      <c r="B226" s="15">
        <f>Неделя!B227</f>
        <v>0</v>
      </c>
      <c r="C226" s="15">
        <f>Неделя!C227</f>
        <v>0</v>
      </c>
      <c r="D226" s="15">
        <f>Неделя!D227</f>
        <v>0</v>
      </c>
      <c r="E226" s="15">
        <f>Неделя!E227</f>
        <v>0</v>
      </c>
      <c r="F226" s="15">
        <f>Неделя!F227</f>
        <v>0</v>
      </c>
      <c r="G226" s="15">
        <f>Неделя!G227</f>
        <v>0</v>
      </c>
      <c r="H226" s="15">
        <f>Неделя!M227</f>
        <v>0</v>
      </c>
    </row>
    <row r="227" spans="1:8" hidden="1">
      <c r="A227" s="15">
        <f>Неделя!A228</f>
        <v>0</v>
      </c>
      <c r="B227" s="15">
        <f>Неделя!B228</f>
        <v>0</v>
      </c>
      <c r="C227" s="15">
        <f>Неделя!C228</f>
        <v>0</v>
      </c>
      <c r="D227" s="15">
        <f>Неделя!D228</f>
        <v>0</v>
      </c>
      <c r="E227" s="15">
        <f>Неделя!E228</f>
        <v>0</v>
      </c>
      <c r="F227" s="15">
        <f>Неделя!F228</f>
        <v>0</v>
      </c>
      <c r="G227" s="15">
        <f>Неделя!G228</f>
        <v>0</v>
      </c>
      <c r="H227" s="15">
        <f>Неделя!M228</f>
        <v>0</v>
      </c>
    </row>
    <row r="228" spans="1:8" hidden="1">
      <c r="A228" s="15">
        <f>Неделя!A229</f>
        <v>0</v>
      </c>
      <c r="B228" s="15">
        <f>Неделя!B229</f>
        <v>0</v>
      </c>
      <c r="C228" s="15">
        <f>Неделя!C229</f>
        <v>0</v>
      </c>
      <c r="D228" s="15">
        <f>Неделя!D229</f>
        <v>0</v>
      </c>
      <c r="E228" s="15">
        <f>Неделя!E229</f>
        <v>0</v>
      </c>
      <c r="F228" s="15">
        <f>Неделя!F229</f>
        <v>0</v>
      </c>
      <c r="G228" s="15">
        <f>Неделя!G229</f>
        <v>0</v>
      </c>
      <c r="H228" s="15">
        <f>Неделя!M229</f>
        <v>0</v>
      </c>
    </row>
    <row r="229" spans="1:8" hidden="1">
      <c r="A229" s="15">
        <f>Неделя!A230</f>
        <v>0</v>
      </c>
      <c r="B229" s="15">
        <f>Неделя!B230</f>
        <v>0</v>
      </c>
      <c r="C229" s="15">
        <f>Неделя!C230</f>
        <v>0</v>
      </c>
      <c r="D229" s="15">
        <f>Неделя!D230</f>
        <v>0</v>
      </c>
      <c r="E229" s="15">
        <f>Неделя!E230</f>
        <v>0</v>
      </c>
      <c r="F229" s="15">
        <f>Неделя!F230</f>
        <v>0</v>
      </c>
      <c r="G229" s="15">
        <f>Неделя!G230</f>
        <v>0</v>
      </c>
      <c r="H229" s="15">
        <f>Неделя!M230</f>
        <v>0</v>
      </c>
    </row>
    <row r="230" spans="1:8" hidden="1">
      <c r="A230" s="15">
        <f>Неделя!A231</f>
        <v>0</v>
      </c>
      <c r="B230" s="15">
        <f>Неделя!B231</f>
        <v>0</v>
      </c>
      <c r="C230" s="15">
        <f>Неделя!C231</f>
        <v>0</v>
      </c>
      <c r="D230" s="15">
        <f>Неделя!D231</f>
        <v>0</v>
      </c>
      <c r="E230" s="15">
        <f>Неделя!E231</f>
        <v>0</v>
      </c>
      <c r="F230" s="15">
        <f>Неделя!F231</f>
        <v>0</v>
      </c>
      <c r="G230" s="15">
        <f>Неделя!G231</f>
        <v>0</v>
      </c>
      <c r="H230" s="15">
        <f>Неделя!M231</f>
        <v>0</v>
      </c>
    </row>
    <row r="231" spans="1:8" hidden="1">
      <c r="A231" s="15">
        <f>Неделя!A232</f>
        <v>0</v>
      </c>
      <c r="B231" s="15">
        <f>Неделя!B232</f>
        <v>0</v>
      </c>
      <c r="C231" s="15">
        <f>Неделя!C232</f>
        <v>0</v>
      </c>
      <c r="D231" s="15">
        <f>Неделя!D232</f>
        <v>0</v>
      </c>
      <c r="E231" s="15">
        <f>Неделя!E232</f>
        <v>0</v>
      </c>
      <c r="F231" s="15">
        <f>Неделя!F232</f>
        <v>0</v>
      </c>
      <c r="G231" s="15">
        <f>Неделя!G232</f>
        <v>0</v>
      </c>
      <c r="H231" s="15">
        <f>Неделя!M232</f>
        <v>0</v>
      </c>
    </row>
    <row r="232" spans="1:8" hidden="1">
      <c r="A232" s="15">
        <f>Неделя!A233</f>
        <v>0</v>
      </c>
      <c r="B232" s="15">
        <f>Неделя!B233</f>
        <v>0</v>
      </c>
      <c r="C232" s="15">
        <f>Неделя!C233</f>
        <v>0</v>
      </c>
      <c r="D232" s="15">
        <f>Неделя!D233</f>
        <v>0</v>
      </c>
      <c r="E232" s="15">
        <f>Неделя!E233</f>
        <v>0</v>
      </c>
      <c r="F232" s="15">
        <f>Неделя!F233</f>
        <v>0</v>
      </c>
      <c r="G232" s="15">
        <f>Неделя!G233</f>
        <v>0</v>
      </c>
      <c r="H232" s="15">
        <f>Неделя!M233</f>
        <v>0</v>
      </c>
    </row>
    <row r="233" spans="1:8" hidden="1">
      <c r="A233" s="15">
        <f>Неделя!A234</f>
        <v>0</v>
      </c>
      <c r="B233" s="15">
        <f>Неделя!B234</f>
        <v>0</v>
      </c>
      <c r="C233" s="15">
        <f>Неделя!C234</f>
        <v>0</v>
      </c>
      <c r="D233" s="15">
        <f>Неделя!D234</f>
        <v>0</v>
      </c>
      <c r="E233" s="15">
        <f>Неделя!E234</f>
        <v>0</v>
      </c>
      <c r="F233" s="15">
        <f>Неделя!F234</f>
        <v>0</v>
      </c>
      <c r="G233" s="15">
        <f>Неделя!G234</f>
        <v>0</v>
      </c>
      <c r="H233" s="15">
        <f>Неделя!M234</f>
        <v>0</v>
      </c>
    </row>
    <row r="234" spans="1:8" hidden="1">
      <c r="A234" s="15">
        <f>Неделя!A235</f>
        <v>0</v>
      </c>
      <c r="B234" s="15">
        <f>Неделя!B235</f>
        <v>0</v>
      </c>
      <c r="C234" s="15">
        <f>Неделя!C235</f>
        <v>0</v>
      </c>
      <c r="D234" s="15">
        <f>Неделя!D235</f>
        <v>0</v>
      </c>
      <c r="E234" s="15">
        <f>Неделя!E235</f>
        <v>0</v>
      </c>
      <c r="F234" s="15">
        <f>Неделя!F235</f>
        <v>0</v>
      </c>
      <c r="G234" s="15">
        <f>Неделя!G235</f>
        <v>0</v>
      </c>
      <c r="H234" s="15">
        <f>Неделя!M235</f>
        <v>0</v>
      </c>
    </row>
    <row r="235" spans="1:8" hidden="1">
      <c r="A235" s="15">
        <f>Неделя!A236</f>
        <v>0</v>
      </c>
      <c r="B235" s="15">
        <f>Неделя!B236</f>
        <v>0</v>
      </c>
      <c r="C235" s="15">
        <f>Неделя!C236</f>
        <v>0</v>
      </c>
      <c r="D235" s="15">
        <f>Неделя!D236</f>
        <v>0</v>
      </c>
      <c r="E235" s="15">
        <f>Неделя!E236</f>
        <v>0</v>
      </c>
      <c r="F235" s="15">
        <f>Неделя!F236</f>
        <v>0</v>
      </c>
      <c r="G235" s="15">
        <f>Неделя!G236</f>
        <v>0</v>
      </c>
      <c r="H235" s="15">
        <f>Неделя!M236</f>
        <v>0</v>
      </c>
    </row>
    <row r="236" spans="1:8" hidden="1">
      <c r="A236" s="15">
        <f>Неделя!A237</f>
        <v>0</v>
      </c>
      <c r="B236" s="15">
        <f>Неделя!B237</f>
        <v>0</v>
      </c>
      <c r="C236" s="15">
        <f>Неделя!C237</f>
        <v>0</v>
      </c>
      <c r="D236" s="15">
        <f>Неделя!D237</f>
        <v>0</v>
      </c>
      <c r="E236" s="15">
        <f>Неделя!E237</f>
        <v>0</v>
      </c>
      <c r="F236" s="15">
        <f>Неделя!F237</f>
        <v>0</v>
      </c>
      <c r="G236" s="15">
        <f>Неделя!G237</f>
        <v>0</v>
      </c>
      <c r="H236" s="15">
        <f>Неделя!M237</f>
        <v>0</v>
      </c>
    </row>
    <row r="237" spans="1:8" hidden="1">
      <c r="A237" s="15">
        <f>Неделя!A238</f>
        <v>0</v>
      </c>
      <c r="B237" s="15">
        <f>Неделя!B238</f>
        <v>0</v>
      </c>
      <c r="C237" s="15">
        <f>Неделя!C238</f>
        <v>0</v>
      </c>
      <c r="D237" s="15">
        <f>Неделя!D238</f>
        <v>0</v>
      </c>
      <c r="E237" s="15">
        <f>Неделя!E238</f>
        <v>0</v>
      </c>
      <c r="F237" s="15">
        <f>Неделя!F238</f>
        <v>0</v>
      </c>
      <c r="G237" s="15">
        <f>Неделя!G238</f>
        <v>0</v>
      </c>
      <c r="H237" s="15">
        <f>Неделя!M238</f>
        <v>0</v>
      </c>
    </row>
    <row r="238" spans="1:8" hidden="1">
      <c r="A238" s="15">
        <f>Неделя!A239</f>
        <v>0</v>
      </c>
      <c r="B238" s="15">
        <f>Неделя!B239</f>
        <v>0</v>
      </c>
      <c r="C238" s="15">
        <f>Неделя!C239</f>
        <v>0</v>
      </c>
      <c r="D238" s="15">
        <f>Неделя!D239</f>
        <v>0</v>
      </c>
      <c r="E238" s="15">
        <f>Неделя!E239</f>
        <v>0</v>
      </c>
      <c r="F238" s="15">
        <f>Неделя!F239</f>
        <v>0</v>
      </c>
      <c r="G238" s="15">
        <f>Неделя!G239</f>
        <v>0</v>
      </c>
      <c r="H238" s="15">
        <f>Неделя!M239</f>
        <v>0</v>
      </c>
    </row>
    <row r="239" spans="1:8" hidden="1">
      <c r="A239" s="15">
        <f>Неделя!A240</f>
        <v>0</v>
      </c>
      <c r="B239" s="15">
        <f>Неделя!B240</f>
        <v>0</v>
      </c>
      <c r="C239" s="15">
        <f>Неделя!C240</f>
        <v>0</v>
      </c>
      <c r="D239" s="15">
        <f>Неделя!D240</f>
        <v>0</v>
      </c>
      <c r="E239" s="15">
        <f>Неделя!E240</f>
        <v>0</v>
      </c>
      <c r="F239" s="15">
        <f>Неделя!F240</f>
        <v>0</v>
      </c>
      <c r="G239" s="15">
        <f>Неделя!G240</f>
        <v>0</v>
      </c>
      <c r="H239" s="15">
        <f>Неделя!M240</f>
        <v>0</v>
      </c>
    </row>
    <row r="240" spans="1:8" hidden="1">
      <c r="A240" s="15">
        <f>Неделя!A241</f>
        <v>0</v>
      </c>
      <c r="B240" s="15">
        <f>Неделя!B241</f>
        <v>0</v>
      </c>
      <c r="C240" s="15">
        <f>Неделя!C241</f>
        <v>0</v>
      </c>
      <c r="D240" s="15">
        <f>Неделя!D241</f>
        <v>0</v>
      </c>
      <c r="E240" s="15">
        <f>Неделя!E241</f>
        <v>0</v>
      </c>
      <c r="F240" s="15">
        <f>Неделя!F241</f>
        <v>0</v>
      </c>
      <c r="G240" s="15">
        <f>Неделя!G241</f>
        <v>0</v>
      </c>
      <c r="H240" s="15">
        <f>Неделя!M241</f>
        <v>0</v>
      </c>
    </row>
    <row r="241" spans="1:8" hidden="1">
      <c r="A241" s="15">
        <f>Неделя!A242</f>
        <v>0</v>
      </c>
      <c r="B241" s="15">
        <f>Неделя!B242</f>
        <v>0</v>
      </c>
      <c r="C241" s="15">
        <f>Неделя!C242</f>
        <v>0</v>
      </c>
      <c r="D241" s="15">
        <f>Неделя!D242</f>
        <v>0</v>
      </c>
      <c r="E241" s="15">
        <f>Неделя!E242</f>
        <v>0</v>
      </c>
      <c r="F241" s="15">
        <f>Неделя!F242</f>
        <v>0</v>
      </c>
      <c r="G241" s="15">
        <f>Неделя!G242</f>
        <v>0</v>
      </c>
      <c r="H241" s="15">
        <f>Неделя!M242</f>
        <v>0</v>
      </c>
    </row>
    <row r="242" spans="1:8" hidden="1">
      <c r="A242" s="15">
        <f>Неделя!A243</f>
        <v>0</v>
      </c>
      <c r="B242" s="15">
        <f>Неделя!B243</f>
        <v>0</v>
      </c>
      <c r="C242" s="15">
        <f>Неделя!C243</f>
        <v>0</v>
      </c>
      <c r="D242" s="15">
        <f>Неделя!D243</f>
        <v>0</v>
      </c>
      <c r="E242" s="15">
        <f>Неделя!E243</f>
        <v>0</v>
      </c>
      <c r="F242" s="15">
        <f>Неделя!F243</f>
        <v>0</v>
      </c>
      <c r="G242" s="15">
        <f>Неделя!G243</f>
        <v>0</v>
      </c>
      <c r="H242" s="15">
        <f>Неделя!M243</f>
        <v>0</v>
      </c>
    </row>
    <row r="243" spans="1:8" hidden="1">
      <c r="A243" s="15">
        <f>Неделя!A244</f>
        <v>0</v>
      </c>
      <c r="B243" s="15">
        <f>Неделя!B244</f>
        <v>0</v>
      </c>
      <c r="C243" s="15">
        <f>Неделя!C244</f>
        <v>0</v>
      </c>
      <c r="D243" s="15">
        <f>Неделя!D244</f>
        <v>0</v>
      </c>
      <c r="E243" s="15">
        <f>Неделя!E244</f>
        <v>0</v>
      </c>
      <c r="F243" s="15">
        <f>Неделя!F244</f>
        <v>0</v>
      </c>
      <c r="G243" s="15">
        <f>Неделя!G244</f>
        <v>0</v>
      </c>
      <c r="H243" s="15">
        <f>Неделя!M244</f>
        <v>0</v>
      </c>
    </row>
    <row r="244" spans="1:8" hidden="1">
      <c r="A244" s="15">
        <f>Неделя!A245</f>
        <v>0</v>
      </c>
      <c r="B244" s="15">
        <f>Неделя!B245</f>
        <v>0</v>
      </c>
      <c r="C244" s="15">
        <f>Неделя!C245</f>
        <v>0</v>
      </c>
      <c r="D244" s="15">
        <f>Неделя!D245</f>
        <v>0</v>
      </c>
      <c r="E244" s="15">
        <f>Неделя!E245</f>
        <v>0</v>
      </c>
      <c r="F244" s="15">
        <f>Неделя!F245</f>
        <v>0</v>
      </c>
      <c r="G244" s="15">
        <f>Неделя!G245</f>
        <v>0</v>
      </c>
      <c r="H244" s="15">
        <f>Неделя!M245</f>
        <v>0</v>
      </c>
    </row>
    <row r="245" spans="1:8" hidden="1">
      <c r="A245" s="15">
        <f>Неделя!A246</f>
        <v>0</v>
      </c>
      <c r="B245" s="15">
        <f>Неделя!B246</f>
        <v>0</v>
      </c>
      <c r="C245" s="15">
        <f>Неделя!C246</f>
        <v>0</v>
      </c>
      <c r="D245" s="15">
        <f>Неделя!D246</f>
        <v>0</v>
      </c>
      <c r="E245" s="15">
        <f>Неделя!E246</f>
        <v>0</v>
      </c>
      <c r="F245" s="15">
        <f>Неделя!F246</f>
        <v>0</v>
      </c>
      <c r="G245" s="15">
        <f>Неделя!G246</f>
        <v>0</v>
      </c>
      <c r="H245" s="15">
        <f>Неделя!M246</f>
        <v>0</v>
      </c>
    </row>
    <row r="246" spans="1:8" hidden="1">
      <c r="A246" s="15">
        <f>Неделя!A247</f>
        <v>0</v>
      </c>
      <c r="B246" s="15">
        <f>Неделя!B247</f>
        <v>0</v>
      </c>
      <c r="C246" s="15">
        <f>Неделя!C247</f>
        <v>0</v>
      </c>
      <c r="D246" s="15">
        <f>Неделя!D247</f>
        <v>0</v>
      </c>
      <c r="E246" s="15">
        <f>Неделя!E247</f>
        <v>0</v>
      </c>
      <c r="F246" s="15">
        <f>Неделя!F247</f>
        <v>0</v>
      </c>
      <c r="G246" s="15">
        <f>Неделя!G247</f>
        <v>0</v>
      </c>
      <c r="H246" s="15">
        <f>Неделя!M247</f>
        <v>0</v>
      </c>
    </row>
    <row r="247" spans="1:8" hidden="1">
      <c r="A247" s="15">
        <f>Неделя!A248</f>
        <v>0</v>
      </c>
      <c r="B247" s="15">
        <f>Неделя!B248</f>
        <v>0</v>
      </c>
      <c r="C247" s="15">
        <f>Неделя!C248</f>
        <v>0</v>
      </c>
      <c r="D247" s="15">
        <f>Неделя!D248</f>
        <v>0</v>
      </c>
      <c r="E247" s="15">
        <f>Неделя!E248</f>
        <v>0</v>
      </c>
      <c r="F247" s="15">
        <f>Неделя!F248</f>
        <v>0</v>
      </c>
      <c r="G247" s="15">
        <f>Неделя!G248</f>
        <v>0</v>
      </c>
      <c r="H247" s="15">
        <f>Неделя!M248</f>
        <v>0</v>
      </c>
    </row>
    <row r="248" spans="1:8" hidden="1">
      <c r="A248" s="15">
        <f>Неделя!A249</f>
        <v>0</v>
      </c>
      <c r="B248" s="15">
        <f>Неделя!B249</f>
        <v>0</v>
      </c>
      <c r="C248" s="15">
        <f>Неделя!C249</f>
        <v>0</v>
      </c>
      <c r="D248" s="15">
        <f>Неделя!D249</f>
        <v>0</v>
      </c>
      <c r="E248" s="15">
        <f>Неделя!E249</f>
        <v>0</v>
      </c>
      <c r="F248" s="15">
        <f>Неделя!F249</f>
        <v>0</v>
      </c>
      <c r="G248" s="15">
        <f>Неделя!G249</f>
        <v>0</v>
      </c>
      <c r="H248" s="15">
        <f>Неделя!M249</f>
        <v>0</v>
      </c>
    </row>
    <row r="249" spans="1:8" hidden="1">
      <c r="A249" s="15">
        <f>Неделя!A250</f>
        <v>0</v>
      </c>
      <c r="B249" s="15">
        <f>Неделя!B250</f>
        <v>0</v>
      </c>
      <c r="C249" s="15">
        <f>Неделя!C250</f>
        <v>0</v>
      </c>
      <c r="D249" s="15">
        <f>Неделя!D250</f>
        <v>0</v>
      </c>
      <c r="E249" s="15">
        <f>Неделя!E250</f>
        <v>0</v>
      </c>
      <c r="F249" s="15">
        <f>Неделя!F250</f>
        <v>0</v>
      </c>
      <c r="G249" s="15">
        <f>Неделя!G250</f>
        <v>0</v>
      </c>
      <c r="H249" s="15">
        <f>Неделя!M250</f>
        <v>0</v>
      </c>
    </row>
    <row r="250" spans="1:8" hidden="1">
      <c r="A250" s="15">
        <f>Неделя!A251</f>
        <v>0</v>
      </c>
      <c r="B250" s="15">
        <f>Неделя!B251</f>
        <v>0</v>
      </c>
      <c r="C250" s="15">
        <f>Неделя!C251</f>
        <v>0</v>
      </c>
      <c r="D250" s="15">
        <f>Неделя!D251</f>
        <v>0</v>
      </c>
      <c r="E250" s="15">
        <f>Неделя!E251</f>
        <v>0</v>
      </c>
      <c r="F250" s="15">
        <f>Неделя!F251</f>
        <v>0</v>
      </c>
      <c r="G250" s="15">
        <f>Неделя!G251</f>
        <v>0</v>
      </c>
      <c r="H250" s="15">
        <f>Неделя!M251</f>
        <v>0</v>
      </c>
    </row>
    <row r="251" spans="1:8" hidden="1">
      <c r="A251" s="15">
        <f>Неделя!A252</f>
        <v>0</v>
      </c>
      <c r="B251" s="15">
        <f>Неделя!B252</f>
        <v>0</v>
      </c>
      <c r="C251" s="15">
        <f>Неделя!C252</f>
        <v>0</v>
      </c>
      <c r="D251" s="15">
        <f>Неделя!D252</f>
        <v>0</v>
      </c>
      <c r="E251" s="15">
        <f>Неделя!E252</f>
        <v>0</v>
      </c>
      <c r="F251" s="15">
        <f>Неделя!F252</f>
        <v>0</v>
      </c>
      <c r="G251" s="15">
        <f>Неделя!G252</f>
        <v>0</v>
      </c>
      <c r="H251" s="15">
        <f>Неделя!M252</f>
        <v>0</v>
      </c>
    </row>
    <row r="252" spans="1:8" hidden="1">
      <c r="A252" s="15">
        <f>Неделя!A253</f>
        <v>0</v>
      </c>
      <c r="B252" s="15">
        <f>Неделя!B253</f>
        <v>0</v>
      </c>
      <c r="C252" s="15">
        <f>Неделя!C253</f>
        <v>0</v>
      </c>
      <c r="D252" s="15">
        <f>Неделя!D253</f>
        <v>0</v>
      </c>
      <c r="E252" s="15">
        <f>Неделя!E253</f>
        <v>0</v>
      </c>
      <c r="F252" s="15">
        <f>Неделя!F253</f>
        <v>0</v>
      </c>
      <c r="G252" s="15">
        <f>Неделя!G253</f>
        <v>0</v>
      </c>
      <c r="H252" s="15">
        <f>Неделя!M253</f>
        <v>0</v>
      </c>
    </row>
    <row r="253" spans="1:8" hidden="1">
      <c r="A253" s="15">
        <f>Неделя!A254</f>
        <v>0</v>
      </c>
      <c r="B253" s="15">
        <f>Неделя!B254</f>
        <v>0</v>
      </c>
      <c r="C253" s="15">
        <f>Неделя!C254</f>
        <v>0</v>
      </c>
      <c r="D253" s="15">
        <f>Неделя!D254</f>
        <v>0</v>
      </c>
      <c r="E253" s="15">
        <f>Неделя!E254</f>
        <v>0</v>
      </c>
      <c r="F253" s="15">
        <f>Неделя!F254</f>
        <v>0</v>
      </c>
      <c r="G253" s="15">
        <f>Неделя!G254</f>
        <v>0</v>
      </c>
      <c r="H253" s="15">
        <f>Неделя!M254</f>
        <v>0</v>
      </c>
    </row>
    <row r="254" spans="1:8" hidden="1">
      <c r="A254" s="15">
        <f>Неделя!A255</f>
        <v>0</v>
      </c>
      <c r="B254" s="15">
        <f>Неделя!B255</f>
        <v>0</v>
      </c>
      <c r="C254" s="15">
        <f>Неделя!C255</f>
        <v>0</v>
      </c>
      <c r="D254" s="15">
        <f>Неделя!D255</f>
        <v>0</v>
      </c>
      <c r="E254" s="15">
        <f>Неделя!E255</f>
        <v>0</v>
      </c>
      <c r="F254" s="15">
        <f>Неделя!F255</f>
        <v>0</v>
      </c>
      <c r="G254" s="15">
        <f>Неделя!G255</f>
        <v>0</v>
      </c>
      <c r="H254" s="15">
        <f>Неделя!M255</f>
        <v>0</v>
      </c>
    </row>
    <row r="255" spans="1:8" hidden="1">
      <c r="A255" s="15">
        <f>Неделя!A256</f>
        <v>0</v>
      </c>
      <c r="B255" s="15">
        <f>Неделя!B256</f>
        <v>0</v>
      </c>
      <c r="C255" s="15">
        <f>Неделя!C256</f>
        <v>0</v>
      </c>
      <c r="D255" s="15">
        <f>Неделя!D256</f>
        <v>0</v>
      </c>
      <c r="E255" s="15">
        <f>Неделя!E256</f>
        <v>0</v>
      </c>
      <c r="F255" s="15">
        <f>Неделя!F256</f>
        <v>0</v>
      </c>
      <c r="G255" s="15">
        <f>Неделя!G256</f>
        <v>0</v>
      </c>
      <c r="H255" s="15">
        <f>Неделя!M256</f>
        <v>0</v>
      </c>
    </row>
    <row r="256" spans="1:8" hidden="1">
      <c r="A256" s="15">
        <f>Неделя!A257</f>
        <v>0</v>
      </c>
      <c r="B256" s="15">
        <f>Неделя!B257</f>
        <v>0</v>
      </c>
      <c r="C256" s="15">
        <f>Неделя!C257</f>
        <v>0</v>
      </c>
      <c r="D256" s="15">
        <f>Неделя!D257</f>
        <v>0</v>
      </c>
      <c r="E256" s="15">
        <f>Неделя!E257</f>
        <v>0</v>
      </c>
      <c r="F256" s="15">
        <f>Неделя!F257</f>
        <v>0</v>
      </c>
      <c r="G256" s="15">
        <f>Неделя!G257</f>
        <v>0</v>
      </c>
      <c r="H256" s="15">
        <f>Неделя!M257</f>
        <v>0</v>
      </c>
    </row>
    <row r="257" spans="1:8" hidden="1">
      <c r="A257" s="15">
        <f>Неделя!A258</f>
        <v>0</v>
      </c>
      <c r="B257" s="15">
        <f>Неделя!B258</f>
        <v>0</v>
      </c>
      <c r="C257" s="15">
        <f>Неделя!C258</f>
        <v>0</v>
      </c>
      <c r="D257" s="15">
        <f>Неделя!D258</f>
        <v>0</v>
      </c>
      <c r="E257" s="15">
        <f>Неделя!E258</f>
        <v>0</v>
      </c>
      <c r="F257" s="15">
        <f>Неделя!F258</f>
        <v>0</v>
      </c>
      <c r="G257" s="15">
        <f>Неделя!G258</f>
        <v>0</v>
      </c>
      <c r="H257" s="15">
        <f>Неделя!M258</f>
        <v>0</v>
      </c>
    </row>
    <row r="258" spans="1:8" hidden="1">
      <c r="A258" s="15">
        <f>Неделя!A259</f>
        <v>0</v>
      </c>
      <c r="B258" s="15">
        <f>Неделя!B259</f>
        <v>0</v>
      </c>
      <c r="C258" s="15">
        <f>Неделя!C259</f>
        <v>0</v>
      </c>
      <c r="D258" s="15">
        <f>Неделя!D259</f>
        <v>0</v>
      </c>
      <c r="E258" s="15">
        <f>Неделя!E259</f>
        <v>0</v>
      </c>
      <c r="F258" s="15">
        <f>Неделя!F259</f>
        <v>0</v>
      </c>
      <c r="G258" s="15">
        <f>Неделя!G259</f>
        <v>0</v>
      </c>
      <c r="H258" s="15">
        <f>Неделя!M259</f>
        <v>0</v>
      </c>
    </row>
    <row r="259" spans="1:8" hidden="1">
      <c r="A259" s="15">
        <f>Неделя!A260</f>
        <v>0</v>
      </c>
      <c r="B259" s="15">
        <f>Неделя!B260</f>
        <v>0</v>
      </c>
      <c r="C259" s="15">
        <f>Неделя!C260</f>
        <v>0</v>
      </c>
      <c r="D259" s="15">
        <f>Неделя!D260</f>
        <v>0</v>
      </c>
      <c r="E259" s="15">
        <f>Неделя!E260</f>
        <v>0</v>
      </c>
      <c r="F259" s="15">
        <f>Неделя!F260</f>
        <v>0</v>
      </c>
      <c r="G259" s="15">
        <f>Неделя!G260</f>
        <v>0</v>
      </c>
      <c r="H259" s="15">
        <f>Неделя!M260</f>
        <v>0</v>
      </c>
    </row>
    <row r="260" spans="1:8" hidden="1">
      <c r="A260" s="15">
        <f>Неделя!A261</f>
        <v>0</v>
      </c>
      <c r="B260" s="15">
        <f>Неделя!B261</f>
        <v>0</v>
      </c>
      <c r="C260" s="15">
        <f>Неделя!C261</f>
        <v>0</v>
      </c>
      <c r="D260" s="15">
        <f>Неделя!D261</f>
        <v>0</v>
      </c>
      <c r="E260" s="15">
        <f>Неделя!E261</f>
        <v>0</v>
      </c>
      <c r="F260" s="15">
        <f>Неделя!F261</f>
        <v>0</v>
      </c>
      <c r="G260" s="15">
        <f>Неделя!G261</f>
        <v>0</v>
      </c>
      <c r="H260" s="15">
        <f>Неделя!M261</f>
        <v>0</v>
      </c>
    </row>
    <row r="261" spans="1:8" hidden="1">
      <c r="A261" s="15">
        <f>Неделя!A262</f>
        <v>0</v>
      </c>
      <c r="B261" s="15">
        <f>Неделя!B262</f>
        <v>0</v>
      </c>
      <c r="C261" s="15">
        <f>Неделя!C262</f>
        <v>0</v>
      </c>
      <c r="D261" s="15">
        <f>Неделя!D262</f>
        <v>0</v>
      </c>
      <c r="E261" s="15">
        <f>Неделя!E262</f>
        <v>0</v>
      </c>
      <c r="F261" s="15">
        <f>Неделя!F262</f>
        <v>0</v>
      </c>
      <c r="G261" s="15">
        <f>Неделя!G262</f>
        <v>0</v>
      </c>
      <c r="H261" s="15">
        <f>Неделя!M262</f>
        <v>0</v>
      </c>
    </row>
    <row r="262" spans="1:8" hidden="1">
      <c r="A262" s="15">
        <f>Неделя!A263</f>
        <v>0</v>
      </c>
      <c r="B262" s="15">
        <f>Неделя!B263</f>
        <v>0</v>
      </c>
      <c r="C262" s="15">
        <f>Неделя!C263</f>
        <v>0</v>
      </c>
      <c r="D262" s="15">
        <f>Неделя!D263</f>
        <v>0</v>
      </c>
      <c r="E262" s="15">
        <f>Неделя!E263</f>
        <v>0</v>
      </c>
      <c r="F262" s="15">
        <f>Неделя!F263</f>
        <v>0</v>
      </c>
      <c r="G262" s="15">
        <f>Неделя!G263</f>
        <v>0</v>
      </c>
      <c r="H262" s="15">
        <f>Неделя!M263</f>
        <v>0</v>
      </c>
    </row>
    <row r="263" spans="1:8" hidden="1">
      <c r="A263" s="15">
        <f>Неделя!A264</f>
        <v>0</v>
      </c>
      <c r="B263" s="15">
        <f>Неделя!B264</f>
        <v>0</v>
      </c>
      <c r="C263" s="15">
        <f>Неделя!C264</f>
        <v>0</v>
      </c>
      <c r="D263" s="15">
        <f>Неделя!D264</f>
        <v>0</v>
      </c>
      <c r="E263" s="15">
        <f>Неделя!E264</f>
        <v>0</v>
      </c>
      <c r="F263" s="15">
        <f>Неделя!F264</f>
        <v>0</v>
      </c>
      <c r="G263" s="15">
        <f>Неделя!G264</f>
        <v>0</v>
      </c>
      <c r="H263" s="15">
        <f>Неделя!M264</f>
        <v>0</v>
      </c>
    </row>
    <row r="264" spans="1:8" hidden="1">
      <c r="A264" s="15">
        <f>Неделя!A265</f>
        <v>0</v>
      </c>
      <c r="B264" s="15">
        <f>Неделя!B265</f>
        <v>0</v>
      </c>
      <c r="C264" s="15">
        <f>Неделя!C265</f>
        <v>0</v>
      </c>
      <c r="D264" s="15">
        <f>Неделя!D265</f>
        <v>0</v>
      </c>
      <c r="E264" s="15">
        <f>Неделя!E265</f>
        <v>0</v>
      </c>
      <c r="F264" s="15">
        <f>Неделя!F265</f>
        <v>0</v>
      </c>
      <c r="G264" s="15">
        <f>Неделя!G265</f>
        <v>0</v>
      </c>
      <c r="H264" s="15">
        <f>Неделя!M265</f>
        <v>0</v>
      </c>
    </row>
    <row r="265" spans="1:8" hidden="1">
      <c r="A265" s="15">
        <f>Неделя!A266</f>
        <v>0</v>
      </c>
      <c r="B265" s="15">
        <f>Неделя!B266</f>
        <v>0</v>
      </c>
      <c r="C265" s="15">
        <f>Неделя!C266</f>
        <v>0</v>
      </c>
      <c r="D265" s="15">
        <f>Неделя!D266</f>
        <v>0</v>
      </c>
      <c r="E265" s="15">
        <f>Неделя!E266</f>
        <v>0</v>
      </c>
      <c r="F265" s="15">
        <f>Неделя!F266</f>
        <v>0</v>
      </c>
      <c r="G265" s="15">
        <f>Неделя!G266</f>
        <v>0</v>
      </c>
      <c r="H265" s="15">
        <f>Неделя!M266</f>
        <v>0</v>
      </c>
    </row>
    <row r="266" spans="1:8" hidden="1">
      <c r="A266" s="15">
        <f>Неделя!A267</f>
        <v>0</v>
      </c>
      <c r="B266" s="15">
        <f>Неделя!B267</f>
        <v>0</v>
      </c>
      <c r="C266" s="15">
        <f>Неделя!C267</f>
        <v>0</v>
      </c>
      <c r="D266" s="15">
        <f>Неделя!D267</f>
        <v>0</v>
      </c>
      <c r="E266" s="15">
        <f>Неделя!E267</f>
        <v>0</v>
      </c>
      <c r="F266" s="15">
        <f>Неделя!F267</f>
        <v>0</v>
      </c>
      <c r="G266" s="15">
        <f>Неделя!G267</f>
        <v>0</v>
      </c>
      <c r="H266" s="15">
        <f>Неделя!M267</f>
        <v>0</v>
      </c>
    </row>
    <row r="267" spans="1:8" hidden="1">
      <c r="A267" s="15">
        <f>Неделя!A268</f>
        <v>0</v>
      </c>
      <c r="B267" s="15">
        <f>Неделя!B268</f>
        <v>0</v>
      </c>
      <c r="C267" s="15">
        <f>Неделя!C268</f>
        <v>0</v>
      </c>
      <c r="D267" s="15">
        <f>Неделя!D268</f>
        <v>0</v>
      </c>
      <c r="E267" s="15">
        <f>Неделя!E268</f>
        <v>0</v>
      </c>
      <c r="F267" s="15">
        <f>Неделя!F268</f>
        <v>0</v>
      </c>
      <c r="G267" s="15">
        <f>Неделя!G268</f>
        <v>0</v>
      </c>
      <c r="H267" s="15">
        <f>Неделя!M268</f>
        <v>0</v>
      </c>
    </row>
    <row r="268" spans="1:8" hidden="1">
      <c r="A268" s="15">
        <f>Неделя!A269</f>
        <v>0</v>
      </c>
      <c r="B268" s="15">
        <f>Неделя!B269</f>
        <v>0</v>
      </c>
      <c r="C268" s="15">
        <f>Неделя!C269</f>
        <v>0</v>
      </c>
      <c r="D268" s="15">
        <f>Неделя!D269</f>
        <v>0</v>
      </c>
      <c r="E268" s="15">
        <f>Неделя!E269</f>
        <v>0</v>
      </c>
      <c r="F268" s="15">
        <f>Неделя!F269</f>
        <v>0</v>
      </c>
      <c r="G268" s="15">
        <f>Неделя!G269</f>
        <v>0</v>
      </c>
      <c r="H268" s="15">
        <f>Неделя!M269</f>
        <v>0</v>
      </c>
    </row>
    <row r="269" spans="1:8" hidden="1">
      <c r="A269" s="15">
        <f>Неделя!A270</f>
        <v>0</v>
      </c>
      <c r="B269" s="15">
        <f>Неделя!B270</f>
        <v>0</v>
      </c>
      <c r="C269" s="15">
        <f>Неделя!C270</f>
        <v>0</v>
      </c>
      <c r="D269" s="15">
        <f>Неделя!D270</f>
        <v>0</v>
      </c>
      <c r="E269" s="15">
        <f>Неделя!E270</f>
        <v>0</v>
      </c>
      <c r="F269" s="15">
        <f>Неделя!F270</f>
        <v>0</v>
      </c>
      <c r="G269" s="15">
        <f>Неделя!G270</f>
        <v>0</v>
      </c>
      <c r="H269" s="15">
        <f>Неделя!M270</f>
        <v>0</v>
      </c>
    </row>
    <row r="270" spans="1:8" hidden="1">
      <c r="A270" s="15">
        <f>Неделя!A271</f>
        <v>0</v>
      </c>
      <c r="B270" s="15">
        <f>Неделя!B271</f>
        <v>0</v>
      </c>
      <c r="C270" s="15">
        <f>Неделя!C271</f>
        <v>0</v>
      </c>
      <c r="D270" s="15">
        <f>Неделя!D271</f>
        <v>0</v>
      </c>
      <c r="E270" s="15">
        <f>Неделя!E271</f>
        <v>0</v>
      </c>
      <c r="F270" s="15">
        <f>Неделя!F271</f>
        <v>0</v>
      </c>
      <c r="G270" s="15">
        <f>Неделя!G271</f>
        <v>0</v>
      </c>
      <c r="H270" s="15">
        <f>Неделя!M271</f>
        <v>0</v>
      </c>
    </row>
    <row r="271" spans="1:8" hidden="1">
      <c r="A271" s="15">
        <f>Неделя!A272</f>
        <v>0</v>
      </c>
      <c r="B271" s="15">
        <f>Неделя!B272</f>
        <v>0</v>
      </c>
      <c r="C271" s="15">
        <f>Неделя!C272</f>
        <v>0</v>
      </c>
      <c r="D271" s="15">
        <f>Неделя!D272</f>
        <v>0</v>
      </c>
      <c r="E271" s="15">
        <f>Неделя!E272</f>
        <v>0</v>
      </c>
      <c r="F271" s="15">
        <f>Неделя!F272</f>
        <v>0</v>
      </c>
      <c r="G271" s="15">
        <f>Неделя!G272</f>
        <v>0</v>
      </c>
      <c r="H271" s="15">
        <f>Неделя!M272</f>
        <v>0</v>
      </c>
    </row>
    <row r="272" spans="1:8" hidden="1">
      <c r="A272" s="15">
        <f>Неделя!A273</f>
        <v>0</v>
      </c>
      <c r="B272" s="15">
        <f>Неделя!B273</f>
        <v>0</v>
      </c>
      <c r="C272" s="15">
        <f>Неделя!C273</f>
        <v>0</v>
      </c>
      <c r="D272" s="15">
        <f>Неделя!D273</f>
        <v>0</v>
      </c>
      <c r="E272" s="15">
        <f>Неделя!E273</f>
        <v>0</v>
      </c>
      <c r="F272" s="15">
        <f>Неделя!F273</f>
        <v>0</v>
      </c>
      <c r="G272" s="15">
        <f>Неделя!G273</f>
        <v>0</v>
      </c>
      <c r="H272" s="15">
        <f>Неделя!M273</f>
        <v>0</v>
      </c>
    </row>
    <row r="273" spans="1:8" hidden="1">
      <c r="A273" s="15">
        <f>Неделя!A274</f>
        <v>0</v>
      </c>
      <c r="B273" s="15">
        <f>Неделя!B274</f>
        <v>0</v>
      </c>
      <c r="C273" s="15">
        <f>Неделя!C274</f>
        <v>0</v>
      </c>
      <c r="D273" s="15">
        <f>Неделя!D274</f>
        <v>0</v>
      </c>
      <c r="E273" s="15">
        <f>Неделя!E274</f>
        <v>0</v>
      </c>
      <c r="F273" s="15">
        <f>Неделя!F274</f>
        <v>0</v>
      </c>
      <c r="G273" s="15">
        <f>Неделя!G274</f>
        <v>0</v>
      </c>
      <c r="H273" s="15">
        <f>Неделя!M274</f>
        <v>0</v>
      </c>
    </row>
    <row r="274" spans="1:8" hidden="1">
      <c r="A274" s="15">
        <f>Неделя!A275</f>
        <v>0</v>
      </c>
      <c r="B274" s="15">
        <f>Неделя!B275</f>
        <v>0</v>
      </c>
      <c r="C274" s="15">
        <f>Неделя!C275</f>
        <v>0</v>
      </c>
      <c r="D274" s="15">
        <f>Неделя!D275</f>
        <v>0</v>
      </c>
      <c r="E274" s="15">
        <f>Неделя!E275</f>
        <v>0</v>
      </c>
      <c r="F274" s="15">
        <f>Неделя!F275</f>
        <v>0</v>
      </c>
      <c r="G274" s="15">
        <f>Неделя!G275</f>
        <v>0</v>
      </c>
      <c r="H274" s="15">
        <f>Неделя!M275</f>
        <v>0</v>
      </c>
    </row>
    <row r="275" spans="1:8" hidden="1">
      <c r="A275" s="15">
        <f>Неделя!A276</f>
        <v>0</v>
      </c>
      <c r="B275" s="15">
        <f>Неделя!B276</f>
        <v>0</v>
      </c>
      <c r="C275" s="15">
        <f>Неделя!C276</f>
        <v>0</v>
      </c>
      <c r="D275" s="15">
        <f>Неделя!D276</f>
        <v>0</v>
      </c>
      <c r="E275" s="15">
        <f>Неделя!E276</f>
        <v>0</v>
      </c>
      <c r="F275" s="15">
        <f>Неделя!F276</f>
        <v>0</v>
      </c>
      <c r="G275" s="15">
        <f>Неделя!G276</f>
        <v>0</v>
      </c>
      <c r="H275" s="15">
        <f>Неделя!M276</f>
        <v>0</v>
      </c>
    </row>
    <row r="276" spans="1:8" hidden="1">
      <c r="A276" s="15">
        <f>Неделя!A277</f>
        <v>0</v>
      </c>
      <c r="B276" s="15">
        <f>Неделя!B277</f>
        <v>0</v>
      </c>
      <c r="C276" s="15">
        <f>Неделя!C277</f>
        <v>0</v>
      </c>
      <c r="D276" s="15">
        <f>Неделя!D277</f>
        <v>0</v>
      </c>
      <c r="E276" s="15">
        <f>Неделя!E277</f>
        <v>0</v>
      </c>
      <c r="F276" s="15">
        <f>Неделя!F277</f>
        <v>0</v>
      </c>
      <c r="G276" s="15">
        <f>Неделя!G277</f>
        <v>0</v>
      </c>
      <c r="H276" s="15">
        <f>Неделя!M277</f>
        <v>0</v>
      </c>
    </row>
    <row r="277" spans="1:8" hidden="1">
      <c r="A277" s="15">
        <f>Неделя!A278</f>
        <v>0</v>
      </c>
      <c r="B277" s="15">
        <f>Неделя!B278</f>
        <v>0</v>
      </c>
      <c r="C277" s="15">
        <f>Неделя!C278</f>
        <v>0</v>
      </c>
      <c r="D277" s="15">
        <f>Неделя!D278</f>
        <v>0</v>
      </c>
      <c r="E277" s="15">
        <f>Неделя!E278</f>
        <v>0</v>
      </c>
      <c r="F277" s="15">
        <f>Неделя!F278</f>
        <v>0</v>
      </c>
      <c r="G277" s="15">
        <f>Неделя!G278</f>
        <v>0</v>
      </c>
      <c r="H277" s="15">
        <f>Неделя!M278</f>
        <v>0</v>
      </c>
    </row>
    <row r="278" spans="1:8" hidden="1">
      <c r="A278" s="15">
        <f>Неделя!A279</f>
        <v>0</v>
      </c>
      <c r="B278" s="15">
        <f>Неделя!B279</f>
        <v>0</v>
      </c>
      <c r="C278" s="15">
        <f>Неделя!C279</f>
        <v>0</v>
      </c>
      <c r="D278" s="15">
        <f>Неделя!D279</f>
        <v>0</v>
      </c>
      <c r="E278" s="15">
        <f>Неделя!E279</f>
        <v>0</v>
      </c>
      <c r="F278" s="15">
        <f>Неделя!F279</f>
        <v>0</v>
      </c>
      <c r="G278" s="15">
        <f>Неделя!G279</f>
        <v>0</v>
      </c>
      <c r="H278" s="15">
        <f>Неделя!M279</f>
        <v>0</v>
      </c>
    </row>
    <row r="279" spans="1:8" hidden="1">
      <c r="A279" s="15">
        <f>Неделя!A280</f>
        <v>0</v>
      </c>
      <c r="B279" s="15">
        <f>Неделя!B280</f>
        <v>0</v>
      </c>
      <c r="C279" s="15">
        <f>Неделя!C280</f>
        <v>0</v>
      </c>
      <c r="D279" s="15">
        <f>Неделя!D280</f>
        <v>0</v>
      </c>
      <c r="E279" s="15">
        <f>Неделя!E280</f>
        <v>0</v>
      </c>
      <c r="F279" s="15">
        <f>Неделя!F280</f>
        <v>0</v>
      </c>
      <c r="G279" s="15">
        <f>Неделя!G280</f>
        <v>0</v>
      </c>
      <c r="H279" s="15">
        <f>Неделя!M280</f>
        <v>0</v>
      </c>
    </row>
    <row r="280" spans="1:8" hidden="1">
      <c r="A280" s="15">
        <f>Неделя!A281</f>
        <v>0</v>
      </c>
      <c r="B280" s="15">
        <f>Неделя!B281</f>
        <v>0</v>
      </c>
      <c r="C280" s="15">
        <f>Неделя!C281</f>
        <v>0</v>
      </c>
      <c r="D280" s="15">
        <f>Неделя!D281</f>
        <v>0</v>
      </c>
      <c r="E280" s="15">
        <f>Неделя!E281</f>
        <v>0</v>
      </c>
      <c r="F280" s="15">
        <f>Неделя!F281</f>
        <v>0</v>
      </c>
      <c r="G280" s="15">
        <f>Неделя!G281</f>
        <v>0</v>
      </c>
      <c r="H280" s="15">
        <f>Неделя!M281</f>
        <v>0</v>
      </c>
    </row>
    <row r="281" spans="1:8" hidden="1">
      <c r="A281" s="15">
        <f>Неделя!A282</f>
        <v>0</v>
      </c>
      <c r="B281" s="15">
        <f>Неделя!B282</f>
        <v>0</v>
      </c>
      <c r="C281" s="15">
        <f>Неделя!C282</f>
        <v>0</v>
      </c>
      <c r="D281" s="15">
        <f>Неделя!D282</f>
        <v>0</v>
      </c>
      <c r="E281" s="15">
        <f>Неделя!E282</f>
        <v>0</v>
      </c>
      <c r="F281" s="15">
        <f>Неделя!F282</f>
        <v>0</v>
      </c>
      <c r="G281" s="15">
        <f>Неделя!G282</f>
        <v>0</v>
      </c>
      <c r="H281" s="15">
        <f>Неделя!M282</f>
        <v>0</v>
      </c>
    </row>
    <row r="282" spans="1:8" hidden="1">
      <c r="A282" s="15">
        <f>Неделя!A283</f>
        <v>0</v>
      </c>
      <c r="B282" s="15">
        <f>Неделя!B283</f>
        <v>0</v>
      </c>
      <c r="C282" s="15">
        <f>Неделя!C283</f>
        <v>0</v>
      </c>
      <c r="D282" s="15">
        <f>Неделя!D283</f>
        <v>0</v>
      </c>
      <c r="E282" s="15">
        <f>Неделя!E283</f>
        <v>0</v>
      </c>
      <c r="F282" s="15">
        <f>Неделя!F283</f>
        <v>0</v>
      </c>
      <c r="G282" s="15">
        <f>Неделя!G283</f>
        <v>0</v>
      </c>
      <c r="H282" s="15">
        <f>Неделя!M283</f>
        <v>0</v>
      </c>
    </row>
    <row r="283" spans="1:8" hidden="1">
      <c r="A283" s="15">
        <f>Неделя!A284</f>
        <v>0</v>
      </c>
      <c r="B283" s="15">
        <f>Неделя!B284</f>
        <v>0</v>
      </c>
      <c r="C283" s="15">
        <f>Неделя!C284</f>
        <v>0</v>
      </c>
      <c r="D283" s="15">
        <f>Неделя!D284</f>
        <v>0</v>
      </c>
      <c r="E283" s="15">
        <f>Неделя!E284</f>
        <v>0</v>
      </c>
      <c r="F283" s="15">
        <f>Неделя!F284</f>
        <v>0</v>
      </c>
      <c r="G283" s="15">
        <f>Неделя!G284</f>
        <v>0</v>
      </c>
      <c r="H283" s="15">
        <f>Неделя!M284</f>
        <v>0</v>
      </c>
    </row>
    <row r="284" spans="1:8" hidden="1">
      <c r="A284" s="15">
        <f>Неделя!A285</f>
        <v>0</v>
      </c>
      <c r="B284" s="15">
        <f>Неделя!B285</f>
        <v>0</v>
      </c>
      <c r="C284" s="15">
        <f>Неделя!C285</f>
        <v>0</v>
      </c>
      <c r="D284" s="15">
        <f>Неделя!D285</f>
        <v>0</v>
      </c>
      <c r="E284" s="15">
        <f>Неделя!E285</f>
        <v>0</v>
      </c>
      <c r="F284" s="15">
        <f>Неделя!F285</f>
        <v>0</v>
      </c>
      <c r="G284" s="15">
        <f>Неделя!G285</f>
        <v>0</v>
      </c>
      <c r="H284" s="15">
        <f>Неделя!M285</f>
        <v>0</v>
      </c>
    </row>
    <row r="285" spans="1:8" hidden="1">
      <c r="A285" s="15">
        <f>Неделя!A286</f>
        <v>0</v>
      </c>
      <c r="B285" s="15">
        <f>Неделя!B286</f>
        <v>0</v>
      </c>
      <c r="C285" s="15">
        <f>Неделя!C286</f>
        <v>0</v>
      </c>
      <c r="D285" s="15">
        <f>Неделя!D286</f>
        <v>0</v>
      </c>
      <c r="E285" s="15">
        <f>Неделя!E286</f>
        <v>0</v>
      </c>
      <c r="F285" s="15">
        <f>Неделя!F286</f>
        <v>0</v>
      </c>
      <c r="G285" s="15">
        <f>Неделя!G286</f>
        <v>0</v>
      </c>
      <c r="H285" s="15">
        <f>Неделя!M286</f>
        <v>0</v>
      </c>
    </row>
    <row r="286" spans="1:8" hidden="1">
      <c r="A286" s="15">
        <f>Неделя!A287</f>
        <v>0</v>
      </c>
      <c r="B286" s="15">
        <f>Неделя!B287</f>
        <v>0</v>
      </c>
      <c r="C286" s="15">
        <f>Неделя!C287</f>
        <v>0</v>
      </c>
      <c r="D286" s="15">
        <f>Неделя!D287</f>
        <v>0</v>
      </c>
      <c r="E286" s="15">
        <f>Неделя!E287</f>
        <v>0</v>
      </c>
      <c r="F286" s="15">
        <f>Неделя!F287</f>
        <v>0</v>
      </c>
      <c r="G286" s="15">
        <f>Неделя!G287</f>
        <v>0</v>
      </c>
      <c r="H286" s="15">
        <f>Неделя!M287</f>
        <v>0</v>
      </c>
    </row>
    <row r="287" spans="1:8" hidden="1">
      <c r="A287" s="15">
        <f>Неделя!A288</f>
        <v>0</v>
      </c>
      <c r="B287" s="15">
        <f>Неделя!B288</f>
        <v>0</v>
      </c>
      <c r="C287" s="15">
        <f>Неделя!C288</f>
        <v>0</v>
      </c>
      <c r="D287" s="15">
        <f>Неделя!D288</f>
        <v>0</v>
      </c>
      <c r="E287" s="15">
        <f>Неделя!E288</f>
        <v>0</v>
      </c>
      <c r="F287" s="15">
        <f>Неделя!F288</f>
        <v>0</v>
      </c>
      <c r="G287" s="15">
        <f>Неделя!G288</f>
        <v>0</v>
      </c>
      <c r="H287" s="15">
        <f>Неделя!M288</f>
        <v>0</v>
      </c>
    </row>
    <row r="288" spans="1:8" hidden="1">
      <c r="A288" s="15">
        <f>Неделя!A289</f>
        <v>0</v>
      </c>
      <c r="B288" s="15">
        <f>Неделя!B289</f>
        <v>0</v>
      </c>
      <c r="C288" s="15">
        <f>Неделя!C289</f>
        <v>0</v>
      </c>
      <c r="D288" s="15">
        <f>Неделя!D289</f>
        <v>0</v>
      </c>
      <c r="E288" s="15">
        <f>Неделя!E289</f>
        <v>0</v>
      </c>
      <c r="F288" s="15">
        <f>Неделя!F289</f>
        <v>0</v>
      </c>
      <c r="G288" s="15">
        <f>Неделя!G289</f>
        <v>0</v>
      </c>
      <c r="H288" s="15">
        <f>Неделя!M289</f>
        <v>0</v>
      </c>
    </row>
    <row r="289" spans="1:8" hidden="1">
      <c r="A289" s="15">
        <f>Неделя!A290</f>
        <v>0</v>
      </c>
      <c r="B289" s="15">
        <f>Неделя!B290</f>
        <v>0</v>
      </c>
      <c r="C289" s="15">
        <f>Неделя!C290</f>
        <v>0</v>
      </c>
      <c r="D289" s="15">
        <f>Неделя!D290</f>
        <v>0</v>
      </c>
      <c r="E289" s="15">
        <f>Неделя!E290</f>
        <v>0</v>
      </c>
      <c r="F289" s="15">
        <f>Неделя!F290</f>
        <v>0</v>
      </c>
      <c r="G289" s="15">
        <f>Неделя!G290</f>
        <v>0</v>
      </c>
      <c r="H289" s="15">
        <f>Неделя!M290</f>
        <v>0</v>
      </c>
    </row>
    <row r="290" spans="1:8" hidden="1">
      <c r="A290" s="15">
        <f>Неделя!A291</f>
        <v>0</v>
      </c>
      <c r="B290" s="15">
        <f>Неделя!B291</f>
        <v>0</v>
      </c>
      <c r="C290" s="15">
        <f>Неделя!C291</f>
        <v>0</v>
      </c>
      <c r="D290" s="15">
        <f>Неделя!D291</f>
        <v>0</v>
      </c>
      <c r="E290" s="15">
        <f>Неделя!E291</f>
        <v>0</v>
      </c>
      <c r="F290" s="15">
        <f>Неделя!F291</f>
        <v>0</v>
      </c>
      <c r="G290" s="15">
        <f>Неделя!G291</f>
        <v>0</v>
      </c>
      <c r="H290" s="15">
        <f>Неделя!M291</f>
        <v>0</v>
      </c>
    </row>
    <row r="291" spans="1:8" hidden="1">
      <c r="A291" s="15">
        <f>Неделя!A292</f>
        <v>0</v>
      </c>
      <c r="B291" s="15">
        <f>Неделя!B292</f>
        <v>0</v>
      </c>
      <c r="C291" s="15">
        <f>Неделя!C292</f>
        <v>0</v>
      </c>
      <c r="D291" s="15">
        <f>Неделя!D292</f>
        <v>0</v>
      </c>
      <c r="E291" s="15">
        <f>Неделя!E292</f>
        <v>0</v>
      </c>
      <c r="F291" s="15">
        <f>Неделя!F292</f>
        <v>0</v>
      </c>
      <c r="G291" s="15">
        <f>Неделя!G292</f>
        <v>0</v>
      </c>
      <c r="H291" s="15">
        <f>Неделя!M292</f>
        <v>0</v>
      </c>
    </row>
    <row r="292" spans="1:8" hidden="1">
      <c r="A292" s="15">
        <f>Неделя!A293</f>
        <v>0</v>
      </c>
      <c r="B292" s="15">
        <f>Неделя!B293</f>
        <v>0</v>
      </c>
      <c r="C292" s="15">
        <f>Неделя!C293</f>
        <v>0</v>
      </c>
      <c r="D292" s="15">
        <f>Неделя!D293</f>
        <v>0</v>
      </c>
      <c r="E292" s="15">
        <f>Неделя!E293</f>
        <v>0</v>
      </c>
      <c r="F292" s="15">
        <f>Неделя!F293</f>
        <v>0</v>
      </c>
      <c r="G292" s="15">
        <f>Неделя!G293</f>
        <v>0</v>
      </c>
      <c r="H292" s="15">
        <f>Неделя!M293</f>
        <v>0</v>
      </c>
    </row>
    <row r="293" spans="1:8" hidden="1">
      <c r="A293" s="15">
        <f>Неделя!A294</f>
        <v>0</v>
      </c>
      <c r="B293" s="15">
        <f>Неделя!B294</f>
        <v>0</v>
      </c>
      <c r="C293" s="15">
        <f>Неделя!C294</f>
        <v>0</v>
      </c>
      <c r="D293" s="15">
        <f>Неделя!D294</f>
        <v>0</v>
      </c>
      <c r="E293" s="15">
        <f>Неделя!E294</f>
        <v>0</v>
      </c>
      <c r="F293" s="15">
        <f>Неделя!F294</f>
        <v>0</v>
      </c>
      <c r="G293" s="15">
        <f>Неделя!G294</f>
        <v>0</v>
      </c>
      <c r="H293" s="15">
        <f>Неделя!M294</f>
        <v>0</v>
      </c>
    </row>
    <row r="294" spans="1:8" hidden="1">
      <c r="A294" s="15">
        <f>Неделя!A295</f>
        <v>0</v>
      </c>
      <c r="B294" s="15">
        <f>Неделя!B295</f>
        <v>0</v>
      </c>
      <c r="C294" s="15">
        <f>Неделя!C295</f>
        <v>0</v>
      </c>
      <c r="D294" s="15">
        <f>Неделя!D295</f>
        <v>0</v>
      </c>
      <c r="E294" s="15">
        <f>Неделя!E295</f>
        <v>0</v>
      </c>
      <c r="F294" s="15">
        <f>Неделя!F295</f>
        <v>0</v>
      </c>
      <c r="G294" s="15">
        <f>Неделя!G295</f>
        <v>0</v>
      </c>
      <c r="H294" s="15">
        <f>Неделя!M295</f>
        <v>0</v>
      </c>
    </row>
    <row r="295" spans="1:8" hidden="1">
      <c r="A295" s="15">
        <f>Неделя!A296</f>
        <v>0</v>
      </c>
      <c r="B295" s="15">
        <f>Неделя!B296</f>
        <v>0</v>
      </c>
      <c r="C295" s="15">
        <f>Неделя!C296</f>
        <v>0</v>
      </c>
      <c r="D295" s="15">
        <f>Неделя!D296</f>
        <v>0</v>
      </c>
      <c r="E295" s="15">
        <f>Неделя!E296</f>
        <v>0</v>
      </c>
      <c r="F295" s="15">
        <f>Неделя!F296</f>
        <v>0</v>
      </c>
      <c r="G295" s="15">
        <f>Неделя!G296</f>
        <v>0</v>
      </c>
      <c r="H295" s="15">
        <f>Неделя!M296</f>
        <v>0</v>
      </c>
    </row>
    <row r="296" spans="1:8" hidden="1">
      <c r="A296" s="15">
        <f>Неделя!A297</f>
        <v>0</v>
      </c>
      <c r="B296" s="15">
        <f>Неделя!B297</f>
        <v>0</v>
      </c>
      <c r="C296" s="15">
        <f>Неделя!C297</f>
        <v>0</v>
      </c>
      <c r="D296" s="15">
        <f>Неделя!D297</f>
        <v>0</v>
      </c>
      <c r="E296" s="15">
        <f>Неделя!E297</f>
        <v>0</v>
      </c>
      <c r="F296" s="15">
        <f>Неделя!F297</f>
        <v>0</v>
      </c>
      <c r="G296" s="15">
        <f>Неделя!G297</f>
        <v>0</v>
      </c>
      <c r="H296" s="15">
        <f>Неделя!M297</f>
        <v>0</v>
      </c>
    </row>
    <row r="297" spans="1:8" hidden="1">
      <c r="A297" s="15">
        <f>Неделя!A298</f>
        <v>0</v>
      </c>
      <c r="B297" s="15">
        <f>Неделя!B298</f>
        <v>0</v>
      </c>
      <c r="C297" s="15">
        <f>Неделя!C298</f>
        <v>0</v>
      </c>
      <c r="D297" s="15">
        <f>Неделя!D298</f>
        <v>0</v>
      </c>
      <c r="E297" s="15">
        <f>Неделя!E298</f>
        <v>0</v>
      </c>
      <c r="F297" s="15">
        <f>Неделя!F298</f>
        <v>0</v>
      </c>
      <c r="G297" s="15">
        <f>Неделя!G298</f>
        <v>0</v>
      </c>
      <c r="H297" s="15">
        <f>Неделя!M298</f>
        <v>0</v>
      </c>
    </row>
    <row r="298" spans="1:8" hidden="1">
      <c r="A298" s="15">
        <f>Неделя!A299</f>
        <v>0</v>
      </c>
      <c r="B298" s="15">
        <f>Неделя!B299</f>
        <v>0</v>
      </c>
      <c r="C298" s="15">
        <f>Неделя!C299</f>
        <v>0</v>
      </c>
      <c r="D298" s="15">
        <f>Неделя!D299</f>
        <v>0</v>
      </c>
      <c r="E298" s="15">
        <f>Неделя!E299</f>
        <v>0</v>
      </c>
      <c r="F298" s="15">
        <f>Неделя!F299</f>
        <v>0</v>
      </c>
      <c r="G298" s="15">
        <f>Неделя!G299</f>
        <v>0</v>
      </c>
      <c r="H298" s="15">
        <f>Неделя!M299</f>
        <v>0</v>
      </c>
    </row>
    <row r="299" spans="1:8" hidden="1">
      <c r="A299" s="15">
        <f>Неделя!A300</f>
        <v>0</v>
      </c>
      <c r="B299" s="15">
        <f>Неделя!B300</f>
        <v>0</v>
      </c>
      <c r="C299" s="15">
        <f>Неделя!C300</f>
        <v>0</v>
      </c>
      <c r="D299" s="15">
        <f>Неделя!D300</f>
        <v>0</v>
      </c>
      <c r="E299" s="15">
        <f>Неделя!E300</f>
        <v>0</v>
      </c>
      <c r="F299" s="15">
        <f>Неделя!F300</f>
        <v>0</v>
      </c>
      <c r="G299" s="15">
        <f>Неделя!G300</f>
        <v>0</v>
      </c>
      <c r="H299" s="15">
        <f>Неделя!M300</f>
        <v>0</v>
      </c>
    </row>
    <row r="300" spans="1:8" hidden="1">
      <c r="A300" s="15">
        <f>Неделя!A301</f>
        <v>0</v>
      </c>
      <c r="B300" s="15">
        <f>Неделя!B301</f>
        <v>0</v>
      </c>
      <c r="C300" s="15">
        <f>Неделя!C301</f>
        <v>0</v>
      </c>
      <c r="D300" s="15">
        <f>Неделя!D301</f>
        <v>0</v>
      </c>
      <c r="E300" s="15">
        <f>Неделя!E301</f>
        <v>0</v>
      </c>
      <c r="F300" s="15">
        <f>Неделя!F301</f>
        <v>0</v>
      </c>
      <c r="G300" s="15">
        <f>Неделя!G301</f>
        <v>0</v>
      </c>
      <c r="H300" s="15">
        <f>Неделя!M301</f>
        <v>0</v>
      </c>
    </row>
    <row r="301" spans="1:8" hidden="1">
      <c r="A301" s="15">
        <f>Неделя!A302</f>
        <v>0</v>
      </c>
      <c r="B301" s="15">
        <f>Неделя!B302</f>
        <v>0</v>
      </c>
      <c r="C301" s="15">
        <f>Неделя!C302</f>
        <v>0</v>
      </c>
      <c r="D301" s="15">
        <f>Неделя!D302</f>
        <v>0</v>
      </c>
      <c r="E301" s="15">
        <f>Неделя!E302</f>
        <v>0</v>
      </c>
      <c r="F301" s="15">
        <f>Неделя!F302</f>
        <v>0</v>
      </c>
      <c r="G301" s="15">
        <f>Неделя!G302</f>
        <v>0</v>
      </c>
      <c r="H301" s="15">
        <f>Неделя!M302</f>
        <v>0</v>
      </c>
    </row>
    <row r="302" spans="1:8" hidden="1">
      <c r="A302" s="15">
        <f>Неделя!A303</f>
        <v>0</v>
      </c>
      <c r="B302" s="15">
        <f>Неделя!B303</f>
        <v>0</v>
      </c>
      <c r="C302" s="15">
        <f>Неделя!C303</f>
        <v>0</v>
      </c>
      <c r="D302" s="15">
        <f>Неделя!D303</f>
        <v>0</v>
      </c>
      <c r="E302" s="15">
        <f>Неделя!E303</f>
        <v>0</v>
      </c>
      <c r="F302" s="15">
        <f>Неделя!F303</f>
        <v>0</v>
      </c>
      <c r="G302" s="15">
        <f>Неделя!G303</f>
        <v>0</v>
      </c>
      <c r="H302" s="15">
        <f>Неделя!M303</f>
        <v>0</v>
      </c>
    </row>
    <row r="303" spans="1:8" hidden="1">
      <c r="A303" s="15">
        <f>Неделя!A304</f>
        <v>0</v>
      </c>
      <c r="B303" s="15">
        <f>Неделя!B304</f>
        <v>0</v>
      </c>
      <c r="C303" s="15">
        <f>Неделя!C304</f>
        <v>0</v>
      </c>
      <c r="D303" s="15">
        <f>Неделя!D304</f>
        <v>0</v>
      </c>
      <c r="E303" s="15">
        <f>Неделя!E304</f>
        <v>0</v>
      </c>
      <c r="F303" s="15">
        <f>Неделя!F304</f>
        <v>0</v>
      </c>
      <c r="G303" s="15">
        <f>Неделя!G304</f>
        <v>0</v>
      </c>
      <c r="H303" s="15">
        <f>Неделя!M304</f>
        <v>0</v>
      </c>
    </row>
    <row r="304" spans="1:8" hidden="1">
      <c r="A304" s="15">
        <f>Неделя!A305</f>
        <v>0</v>
      </c>
      <c r="B304" s="15">
        <f>Неделя!B305</f>
        <v>0</v>
      </c>
      <c r="C304" s="15">
        <f>Неделя!C305</f>
        <v>0</v>
      </c>
      <c r="D304" s="15">
        <f>Неделя!D305</f>
        <v>0</v>
      </c>
      <c r="E304" s="15">
        <f>Неделя!E305</f>
        <v>0</v>
      </c>
      <c r="F304" s="15">
        <f>Неделя!F305</f>
        <v>0</v>
      </c>
      <c r="G304" s="15">
        <f>Неделя!G305</f>
        <v>0</v>
      </c>
      <c r="H304" s="15">
        <f>Неделя!M305</f>
        <v>0</v>
      </c>
    </row>
    <row r="305" spans="1:8" hidden="1">
      <c r="A305" s="15">
        <f>Неделя!A306</f>
        <v>0</v>
      </c>
      <c r="B305" s="15">
        <f>Неделя!B306</f>
        <v>0</v>
      </c>
      <c r="C305" s="15">
        <f>Неделя!C306</f>
        <v>0</v>
      </c>
      <c r="D305" s="15">
        <f>Неделя!D306</f>
        <v>0</v>
      </c>
      <c r="E305" s="15">
        <f>Неделя!E306</f>
        <v>0</v>
      </c>
      <c r="F305" s="15">
        <f>Неделя!F306</f>
        <v>0</v>
      </c>
      <c r="G305" s="15">
        <f>Неделя!G306</f>
        <v>0</v>
      </c>
      <c r="H305" s="15">
        <f>Неделя!M306</f>
        <v>0</v>
      </c>
    </row>
    <row r="306" spans="1:8" hidden="1">
      <c r="A306" s="15">
        <f>Неделя!A307</f>
        <v>0</v>
      </c>
      <c r="B306" s="15">
        <f>Неделя!B307</f>
        <v>0</v>
      </c>
      <c r="C306" s="15">
        <f>Неделя!C307</f>
        <v>0</v>
      </c>
      <c r="D306" s="15">
        <f>Неделя!D307</f>
        <v>0</v>
      </c>
      <c r="E306" s="15">
        <f>Неделя!E307</f>
        <v>0</v>
      </c>
      <c r="F306" s="15">
        <f>Неделя!F307</f>
        <v>0</v>
      </c>
      <c r="G306" s="15">
        <f>Неделя!G307</f>
        <v>0</v>
      </c>
      <c r="H306" s="15">
        <f>Неделя!M307</f>
        <v>0</v>
      </c>
    </row>
    <row r="307" spans="1:8" hidden="1">
      <c r="A307" s="15">
        <f>Неделя!A308</f>
        <v>0</v>
      </c>
      <c r="B307" s="15">
        <f>Неделя!B308</f>
        <v>0</v>
      </c>
      <c r="C307" s="15">
        <f>Неделя!C308</f>
        <v>0</v>
      </c>
      <c r="D307" s="15">
        <f>Неделя!D308</f>
        <v>0</v>
      </c>
      <c r="E307" s="15">
        <f>Неделя!E308</f>
        <v>0</v>
      </c>
      <c r="F307" s="15">
        <f>Неделя!F308</f>
        <v>0</v>
      </c>
      <c r="G307" s="15">
        <f>Неделя!G308</f>
        <v>0</v>
      </c>
      <c r="H307" s="15">
        <f>Неделя!M308</f>
        <v>0</v>
      </c>
    </row>
    <row r="308" spans="1:8" hidden="1">
      <c r="A308" s="15">
        <f>Неделя!A309</f>
        <v>0</v>
      </c>
      <c r="B308" s="15">
        <f>Неделя!B309</f>
        <v>0</v>
      </c>
      <c r="C308" s="15">
        <f>Неделя!C309</f>
        <v>0</v>
      </c>
      <c r="D308" s="15">
        <f>Неделя!D309</f>
        <v>0</v>
      </c>
      <c r="E308" s="15">
        <f>Неделя!E309</f>
        <v>0</v>
      </c>
      <c r="F308" s="15">
        <f>Неделя!F309</f>
        <v>0</v>
      </c>
      <c r="G308" s="15">
        <f>Неделя!G309</f>
        <v>0</v>
      </c>
      <c r="H308" s="15">
        <f>Неделя!M309</f>
        <v>0</v>
      </c>
    </row>
    <row r="309" spans="1:8" hidden="1">
      <c r="A309" s="15">
        <f>Неделя!A310</f>
        <v>0</v>
      </c>
      <c r="B309" s="15">
        <f>Неделя!B310</f>
        <v>0</v>
      </c>
      <c r="C309" s="15">
        <f>Неделя!C310</f>
        <v>0</v>
      </c>
      <c r="D309" s="15">
        <f>Неделя!D310</f>
        <v>0</v>
      </c>
      <c r="E309" s="15">
        <f>Неделя!E310</f>
        <v>0</v>
      </c>
      <c r="F309" s="15">
        <f>Неделя!F310</f>
        <v>0</v>
      </c>
      <c r="G309" s="15">
        <f>Неделя!G310</f>
        <v>0</v>
      </c>
      <c r="H309" s="15">
        <f>Неделя!M310</f>
        <v>0</v>
      </c>
    </row>
    <row r="310" spans="1:8" hidden="1">
      <c r="A310" s="15">
        <f>Неделя!A311</f>
        <v>0</v>
      </c>
      <c r="B310" s="15">
        <f>Неделя!B311</f>
        <v>0</v>
      </c>
      <c r="C310" s="15">
        <f>Неделя!C311</f>
        <v>0</v>
      </c>
      <c r="D310" s="15">
        <f>Неделя!D311</f>
        <v>0</v>
      </c>
      <c r="E310" s="15">
        <f>Неделя!E311</f>
        <v>0</v>
      </c>
      <c r="F310" s="15">
        <f>Неделя!F311</f>
        <v>0</v>
      </c>
      <c r="G310" s="15">
        <f>Неделя!G311</f>
        <v>0</v>
      </c>
      <c r="H310" s="15">
        <f>Неделя!M311</f>
        <v>0</v>
      </c>
    </row>
    <row r="311" spans="1:8" hidden="1">
      <c r="A311" s="15">
        <f>Неделя!A312</f>
        <v>0</v>
      </c>
      <c r="B311" s="15">
        <f>Неделя!B312</f>
        <v>0</v>
      </c>
      <c r="C311" s="15">
        <f>Неделя!C312</f>
        <v>0</v>
      </c>
      <c r="D311" s="15">
        <f>Неделя!D312</f>
        <v>0</v>
      </c>
      <c r="E311" s="15">
        <f>Неделя!E312</f>
        <v>0</v>
      </c>
      <c r="F311" s="15">
        <f>Неделя!F312</f>
        <v>0</v>
      </c>
      <c r="G311" s="15">
        <f>Неделя!G312</f>
        <v>0</v>
      </c>
      <c r="H311" s="15">
        <f>Неделя!M312</f>
        <v>0</v>
      </c>
    </row>
    <row r="312" spans="1:8" hidden="1">
      <c r="A312" s="15">
        <f>Неделя!A313</f>
        <v>0</v>
      </c>
      <c r="B312" s="15">
        <f>Неделя!B313</f>
        <v>0</v>
      </c>
      <c r="C312" s="15">
        <f>Неделя!C313</f>
        <v>0</v>
      </c>
      <c r="D312" s="15">
        <f>Неделя!D313</f>
        <v>0</v>
      </c>
      <c r="E312" s="15">
        <f>Неделя!E313</f>
        <v>0</v>
      </c>
      <c r="F312" s="15">
        <f>Неделя!F313</f>
        <v>0</v>
      </c>
      <c r="G312" s="15">
        <f>Неделя!G313</f>
        <v>0</v>
      </c>
      <c r="H312" s="15">
        <f>Неделя!M313</f>
        <v>0</v>
      </c>
    </row>
    <row r="313" spans="1:8" hidden="1">
      <c r="A313" s="15">
        <f>Неделя!A314</f>
        <v>0</v>
      </c>
      <c r="B313" s="15">
        <f>Неделя!B314</f>
        <v>0</v>
      </c>
      <c r="C313" s="15">
        <f>Неделя!C314</f>
        <v>0</v>
      </c>
      <c r="D313" s="15">
        <f>Неделя!D314</f>
        <v>0</v>
      </c>
      <c r="E313" s="15">
        <f>Неделя!E314</f>
        <v>0</v>
      </c>
      <c r="F313" s="15">
        <f>Неделя!F314</f>
        <v>0</v>
      </c>
      <c r="G313" s="15">
        <f>Неделя!G314</f>
        <v>0</v>
      </c>
      <c r="H313" s="15">
        <f>Неделя!M314</f>
        <v>0</v>
      </c>
    </row>
    <row r="314" spans="1:8" hidden="1">
      <c r="A314" s="15">
        <f>Неделя!A315</f>
        <v>0</v>
      </c>
      <c r="B314" s="15">
        <f>Неделя!B315</f>
        <v>0</v>
      </c>
      <c r="C314" s="15">
        <f>Неделя!C315</f>
        <v>0</v>
      </c>
      <c r="D314" s="15">
        <f>Неделя!D315</f>
        <v>0</v>
      </c>
      <c r="E314" s="15">
        <f>Неделя!E315</f>
        <v>0</v>
      </c>
      <c r="F314" s="15">
        <f>Неделя!F315</f>
        <v>0</v>
      </c>
      <c r="G314" s="15">
        <f>Неделя!G315</f>
        <v>0</v>
      </c>
      <c r="H314" s="15">
        <f>Неделя!M315</f>
        <v>0</v>
      </c>
    </row>
    <row r="315" spans="1:8" hidden="1">
      <c r="A315" s="15">
        <f>Неделя!A316</f>
        <v>0</v>
      </c>
      <c r="B315" s="15">
        <f>Неделя!B316</f>
        <v>0</v>
      </c>
      <c r="C315" s="15">
        <f>Неделя!C316</f>
        <v>0</v>
      </c>
      <c r="D315" s="15">
        <f>Неделя!D316</f>
        <v>0</v>
      </c>
      <c r="E315" s="15">
        <f>Неделя!E316</f>
        <v>0</v>
      </c>
      <c r="F315" s="15">
        <f>Неделя!F316</f>
        <v>0</v>
      </c>
      <c r="G315" s="15">
        <f>Неделя!G316</f>
        <v>0</v>
      </c>
      <c r="H315" s="15">
        <f>Неделя!M316</f>
        <v>0</v>
      </c>
    </row>
    <row r="316" spans="1:8" hidden="1">
      <c r="A316" s="15">
        <f>Неделя!A317</f>
        <v>0</v>
      </c>
      <c r="B316" s="15">
        <f>Неделя!B317</f>
        <v>0</v>
      </c>
      <c r="C316" s="15">
        <f>Неделя!C317</f>
        <v>0</v>
      </c>
      <c r="D316" s="15">
        <f>Неделя!D317</f>
        <v>0</v>
      </c>
      <c r="E316" s="15">
        <f>Неделя!E317</f>
        <v>0</v>
      </c>
      <c r="F316" s="15">
        <f>Неделя!F317</f>
        <v>0</v>
      </c>
      <c r="G316" s="15">
        <f>Неделя!G317</f>
        <v>0</v>
      </c>
      <c r="H316" s="15">
        <f>Неделя!M317</f>
        <v>0</v>
      </c>
    </row>
    <row r="317" spans="1:8" hidden="1">
      <c r="A317" s="15">
        <f>Неделя!A318</f>
        <v>0</v>
      </c>
      <c r="B317" s="15">
        <f>Неделя!B318</f>
        <v>0</v>
      </c>
      <c r="C317" s="15">
        <f>Неделя!C318</f>
        <v>0</v>
      </c>
      <c r="D317" s="15">
        <f>Неделя!D318</f>
        <v>0</v>
      </c>
      <c r="E317" s="15">
        <f>Неделя!E318</f>
        <v>0</v>
      </c>
      <c r="F317" s="15">
        <f>Неделя!F318</f>
        <v>0</v>
      </c>
      <c r="G317" s="15">
        <f>Неделя!G318</f>
        <v>0</v>
      </c>
      <c r="H317" s="15">
        <f>Неделя!M318</f>
        <v>0</v>
      </c>
    </row>
    <row r="318" spans="1:8" hidden="1">
      <c r="A318" s="15">
        <f>Неделя!A319</f>
        <v>0</v>
      </c>
      <c r="B318" s="15">
        <f>Неделя!B319</f>
        <v>0</v>
      </c>
      <c r="C318" s="15">
        <f>Неделя!C319</f>
        <v>0</v>
      </c>
      <c r="D318" s="15">
        <f>Неделя!D319</f>
        <v>0</v>
      </c>
      <c r="E318" s="15">
        <f>Неделя!E319</f>
        <v>0</v>
      </c>
      <c r="F318" s="15">
        <f>Неделя!F319</f>
        <v>0</v>
      </c>
      <c r="G318" s="15">
        <f>Неделя!G319</f>
        <v>0</v>
      </c>
      <c r="H318" s="15">
        <f>Неделя!M319</f>
        <v>0</v>
      </c>
    </row>
    <row r="319" spans="1:8" hidden="1">
      <c r="A319" s="15">
        <f>Неделя!A320</f>
        <v>0</v>
      </c>
      <c r="B319" s="15">
        <f>Неделя!B320</f>
        <v>0</v>
      </c>
      <c r="C319" s="15">
        <f>Неделя!C320</f>
        <v>0</v>
      </c>
      <c r="D319" s="15">
        <f>Неделя!D320</f>
        <v>0</v>
      </c>
      <c r="E319" s="15">
        <f>Неделя!E320</f>
        <v>0</v>
      </c>
      <c r="F319" s="15">
        <f>Неделя!F320</f>
        <v>0</v>
      </c>
      <c r="G319" s="15">
        <f>Неделя!G320</f>
        <v>0</v>
      </c>
      <c r="H319" s="15">
        <f>Неделя!M320</f>
        <v>0</v>
      </c>
    </row>
    <row r="320" spans="1:8" hidden="1">
      <c r="A320" s="15">
        <f>Неделя!A321</f>
        <v>0</v>
      </c>
      <c r="B320" s="15">
        <f>Неделя!B321</f>
        <v>0</v>
      </c>
      <c r="C320" s="15">
        <f>Неделя!C321</f>
        <v>0</v>
      </c>
      <c r="D320" s="15">
        <f>Неделя!D321</f>
        <v>0</v>
      </c>
      <c r="E320" s="15">
        <f>Неделя!E321</f>
        <v>0</v>
      </c>
      <c r="F320" s="15">
        <f>Неделя!F321</f>
        <v>0</v>
      </c>
      <c r="G320" s="15">
        <f>Неделя!G321</f>
        <v>0</v>
      </c>
      <c r="H320" s="15">
        <f>Неделя!M321</f>
        <v>0</v>
      </c>
    </row>
    <row r="321" spans="1:8" hidden="1">
      <c r="A321" s="15">
        <f>Неделя!A322</f>
        <v>0</v>
      </c>
      <c r="B321" s="15">
        <f>Неделя!B322</f>
        <v>0</v>
      </c>
      <c r="C321" s="15">
        <f>Неделя!C322</f>
        <v>0</v>
      </c>
      <c r="D321" s="15">
        <f>Неделя!D322</f>
        <v>0</v>
      </c>
      <c r="E321" s="15">
        <f>Неделя!E322</f>
        <v>0</v>
      </c>
      <c r="F321" s="15">
        <f>Неделя!F322</f>
        <v>0</v>
      </c>
      <c r="G321" s="15">
        <f>Неделя!G322</f>
        <v>0</v>
      </c>
      <c r="H321" s="15">
        <f>Неделя!M322</f>
        <v>0</v>
      </c>
    </row>
    <row r="322" spans="1:8" hidden="1">
      <c r="A322" s="15">
        <f>Неделя!A323</f>
        <v>0</v>
      </c>
      <c r="B322" s="15">
        <f>Неделя!B323</f>
        <v>0</v>
      </c>
      <c r="C322" s="15">
        <f>Неделя!C323</f>
        <v>0</v>
      </c>
      <c r="D322" s="15">
        <f>Неделя!D323</f>
        <v>0</v>
      </c>
      <c r="E322" s="15">
        <f>Неделя!E323</f>
        <v>0</v>
      </c>
      <c r="F322" s="15">
        <f>Неделя!F323</f>
        <v>0</v>
      </c>
      <c r="G322" s="15">
        <f>Неделя!G323</f>
        <v>0</v>
      </c>
      <c r="H322" s="15">
        <f>Неделя!M323</f>
        <v>0</v>
      </c>
    </row>
    <row r="323" spans="1:8" hidden="1">
      <c r="A323" s="15">
        <f>Неделя!A324</f>
        <v>0</v>
      </c>
      <c r="B323" s="15">
        <f>Неделя!B324</f>
        <v>0</v>
      </c>
      <c r="C323" s="15">
        <f>Неделя!C324</f>
        <v>0</v>
      </c>
      <c r="D323" s="15">
        <f>Неделя!D324</f>
        <v>0</v>
      </c>
      <c r="E323" s="15">
        <f>Неделя!E324</f>
        <v>0</v>
      </c>
      <c r="F323" s="15">
        <f>Неделя!F324</f>
        <v>0</v>
      </c>
      <c r="G323" s="15">
        <f>Неделя!G324</f>
        <v>0</v>
      </c>
      <c r="H323" s="15">
        <f>Неделя!M324</f>
        <v>0</v>
      </c>
    </row>
    <row r="324" spans="1:8" hidden="1">
      <c r="A324" s="15">
        <f>Неделя!A325</f>
        <v>0</v>
      </c>
      <c r="B324" s="15">
        <f>Неделя!B325</f>
        <v>0</v>
      </c>
      <c r="C324" s="15">
        <f>Неделя!C325</f>
        <v>0</v>
      </c>
      <c r="D324" s="15">
        <f>Неделя!D325</f>
        <v>0</v>
      </c>
      <c r="E324" s="15">
        <f>Неделя!E325</f>
        <v>0</v>
      </c>
      <c r="F324" s="15">
        <f>Неделя!F325</f>
        <v>0</v>
      </c>
      <c r="G324" s="15">
        <f>Неделя!G325</f>
        <v>0</v>
      </c>
      <c r="H324" s="15">
        <f>Неделя!M325</f>
        <v>0</v>
      </c>
    </row>
    <row r="325" spans="1:8" hidden="1">
      <c r="A325" s="15">
        <f>Неделя!A326</f>
        <v>0</v>
      </c>
      <c r="B325" s="15">
        <f>Неделя!B326</f>
        <v>0</v>
      </c>
      <c r="C325" s="15">
        <f>Неделя!C326</f>
        <v>0</v>
      </c>
      <c r="D325" s="15">
        <f>Неделя!D326</f>
        <v>0</v>
      </c>
      <c r="E325" s="15">
        <f>Неделя!E326</f>
        <v>0</v>
      </c>
      <c r="F325" s="15">
        <f>Неделя!F326</f>
        <v>0</v>
      </c>
      <c r="G325" s="15">
        <f>Неделя!G326</f>
        <v>0</v>
      </c>
      <c r="H325" s="15">
        <f>Неделя!M326</f>
        <v>0</v>
      </c>
    </row>
    <row r="326" spans="1:8" hidden="1">
      <c r="A326" s="15">
        <f>Неделя!A327</f>
        <v>0</v>
      </c>
      <c r="B326" s="15">
        <f>Неделя!B327</f>
        <v>0</v>
      </c>
      <c r="C326" s="15">
        <f>Неделя!C327</f>
        <v>0</v>
      </c>
      <c r="D326" s="15">
        <f>Неделя!D327</f>
        <v>0</v>
      </c>
      <c r="E326" s="15">
        <f>Неделя!E327</f>
        <v>0</v>
      </c>
      <c r="F326" s="15">
        <f>Неделя!F327</f>
        <v>0</v>
      </c>
      <c r="G326" s="15">
        <f>Неделя!G327</f>
        <v>0</v>
      </c>
      <c r="H326" s="15">
        <f>Неделя!M327</f>
        <v>0</v>
      </c>
    </row>
    <row r="327" spans="1:8" hidden="1">
      <c r="A327" s="15">
        <f>Неделя!A328</f>
        <v>0</v>
      </c>
      <c r="B327" s="15">
        <f>Неделя!B328</f>
        <v>0</v>
      </c>
      <c r="C327" s="15">
        <f>Неделя!C328</f>
        <v>0</v>
      </c>
      <c r="D327" s="15">
        <f>Неделя!D328</f>
        <v>0</v>
      </c>
      <c r="E327" s="15">
        <f>Неделя!E328</f>
        <v>0</v>
      </c>
      <c r="F327" s="15">
        <f>Неделя!F328</f>
        <v>0</v>
      </c>
      <c r="G327" s="15">
        <f>Неделя!G328</f>
        <v>0</v>
      </c>
      <c r="H327" s="15">
        <f>Неделя!M328</f>
        <v>0</v>
      </c>
    </row>
    <row r="65022" ht="18.2" customHeight="1"/>
  </sheetData>
  <sheetProtection selectLockedCells="1" selectUnlockedCells="1"/>
  <autoFilter ref="A1:H327">
    <filterColumn colId="7">
      <filters>
        <filter val="1"/>
        <filter val="пт"/>
      </filters>
    </filterColumn>
  </autoFilter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opLeftCell="A33" zoomScale="106" zoomScaleNormal="106" workbookViewId="0">
      <selection activeCell="B54" sqref="B54"/>
    </sheetView>
  </sheetViews>
  <sheetFormatPr defaultColWidth="11.5703125" defaultRowHeight="15"/>
  <cols>
    <col min="1" max="1" width="6" bestFit="1" customWidth="1"/>
    <col min="2" max="2" width="38.140625" customWidth="1"/>
    <col min="3" max="3" width="9.140625" customWidth="1"/>
    <col min="4" max="4" width="4.7109375" customWidth="1"/>
    <col min="5" max="5" width="5.140625" customWidth="1"/>
    <col min="6" max="6" width="6" customWidth="1"/>
    <col min="7" max="8" width="5.140625" customWidth="1"/>
  </cols>
  <sheetData>
    <row r="1" spans="1:8">
      <c r="A1" s="4"/>
      <c r="B1" s="4"/>
      <c r="C1" s="4"/>
      <c r="D1" s="4">
        <v>180</v>
      </c>
      <c r="E1" s="4">
        <v>150</v>
      </c>
      <c r="F1" s="4" t="s">
        <v>149</v>
      </c>
      <c r="G1" s="4">
        <v>400</v>
      </c>
      <c r="H1" s="4">
        <v>250</v>
      </c>
    </row>
    <row r="2" spans="1:8">
      <c r="A2" s="4">
        <v>1</v>
      </c>
      <c r="B2" s="4" t="s">
        <v>10</v>
      </c>
      <c r="C2" s="4">
        <v>1.2749999999999999</v>
      </c>
      <c r="D2" s="4">
        <v>2</v>
      </c>
      <c r="E2" s="4">
        <v>4</v>
      </c>
      <c r="F2" s="4">
        <v>0</v>
      </c>
      <c r="G2" s="4">
        <v>0</v>
      </c>
      <c r="H2" s="4">
        <v>0</v>
      </c>
    </row>
    <row r="3" spans="1:8">
      <c r="A3" s="4">
        <v>1</v>
      </c>
      <c r="B3" s="4" t="s">
        <v>29</v>
      </c>
      <c r="C3" s="4">
        <v>3.8250000000000002</v>
      </c>
      <c r="D3" s="4">
        <v>0</v>
      </c>
      <c r="E3" s="4">
        <v>0</v>
      </c>
      <c r="F3" s="4">
        <v>0</v>
      </c>
      <c r="G3" s="4">
        <v>0</v>
      </c>
      <c r="H3" s="4">
        <v>0</v>
      </c>
    </row>
    <row r="4" spans="1:8">
      <c r="A4" s="4">
        <v>1</v>
      </c>
      <c r="B4" s="4" t="s">
        <v>30</v>
      </c>
      <c r="C4" s="4">
        <v>4.1399999999999997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s="17" customFormat="1">
      <c r="A5" s="16">
        <v>2</v>
      </c>
      <c r="B5" s="16" t="s">
        <v>14</v>
      </c>
      <c r="C5" s="16">
        <v>4.62</v>
      </c>
      <c r="D5" s="16">
        <v>1</v>
      </c>
      <c r="E5" s="16">
        <v>2</v>
      </c>
      <c r="F5" s="16">
        <v>0</v>
      </c>
      <c r="G5" s="16">
        <v>0</v>
      </c>
      <c r="H5" s="16">
        <v>0</v>
      </c>
    </row>
    <row r="6" spans="1:8">
      <c r="A6" s="4">
        <v>3</v>
      </c>
      <c r="B6" s="4" t="s">
        <v>27</v>
      </c>
      <c r="C6" s="4">
        <v>3.3450000000000002</v>
      </c>
      <c r="D6" s="4">
        <v>1</v>
      </c>
      <c r="E6" s="4">
        <v>0</v>
      </c>
      <c r="F6" s="4">
        <v>1</v>
      </c>
      <c r="G6" s="4">
        <v>0</v>
      </c>
      <c r="H6" s="4">
        <v>0</v>
      </c>
    </row>
    <row r="7" spans="1:8">
      <c r="A7" s="4">
        <v>4</v>
      </c>
      <c r="B7" s="4" t="s">
        <v>3</v>
      </c>
      <c r="C7" s="4">
        <v>6.69</v>
      </c>
      <c r="D7" s="4">
        <v>2</v>
      </c>
      <c r="E7" s="4">
        <v>2</v>
      </c>
      <c r="F7" s="4">
        <v>0</v>
      </c>
      <c r="G7" s="4">
        <v>0</v>
      </c>
      <c r="H7" s="4">
        <v>0</v>
      </c>
    </row>
    <row r="8" spans="1:8">
      <c r="A8" s="4">
        <v>5</v>
      </c>
      <c r="B8" s="4" t="s">
        <v>24</v>
      </c>
      <c r="C8" s="4">
        <v>2.0699999999999998</v>
      </c>
      <c r="D8" s="4">
        <v>1</v>
      </c>
      <c r="E8" s="4">
        <v>0</v>
      </c>
      <c r="F8" s="4">
        <v>0</v>
      </c>
      <c r="G8" s="4">
        <v>0</v>
      </c>
      <c r="H8" s="4">
        <v>0</v>
      </c>
    </row>
    <row r="9" spans="1:8" s="17" customFormat="1">
      <c r="A9" s="16">
        <v>6</v>
      </c>
      <c r="B9" s="16" t="s">
        <v>66</v>
      </c>
      <c r="C9" s="16">
        <v>2.0699999999999998</v>
      </c>
      <c r="D9" s="16">
        <v>1</v>
      </c>
      <c r="E9" s="16">
        <v>0</v>
      </c>
      <c r="F9" s="16">
        <v>0</v>
      </c>
      <c r="G9" s="16">
        <v>0</v>
      </c>
      <c r="H9" s="16">
        <v>0</v>
      </c>
    </row>
    <row r="10" spans="1:8" s="17" customFormat="1">
      <c r="A10" s="16">
        <v>7</v>
      </c>
      <c r="B10" s="16" t="s">
        <v>67</v>
      </c>
      <c r="C10" s="16">
        <v>2.0699999999999998</v>
      </c>
      <c r="D10" s="16">
        <v>1</v>
      </c>
      <c r="E10" s="16">
        <v>0</v>
      </c>
      <c r="F10" s="16">
        <v>0</v>
      </c>
      <c r="G10" s="16">
        <v>0</v>
      </c>
      <c r="H10" s="16">
        <v>0</v>
      </c>
    </row>
    <row r="11" spans="1:8" s="17" customFormat="1">
      <c r="A11" s="16">
        <v>8</v>
      </c>
      <c r="B11" s="16" t="s">
        <v>77</v>
      </c>
      <c r="C11" s="16">
        <v>4.1399999999999997</v>
      </c>
      <c r="D11" s="16">
        <v>2</v>
      </c>
      <c r="E11" s="16">
        <v>0</v>
      </c>
      <c r="F11" s="16">
        <v>0</v>
      </c>
      <c r="G11" s="16">
        <v>0</v>
      </c>
      <c r="H11" s="16">
        <v>0</v>
      </c>
    </row>
    <row r="12" spans="1:8">
      <c r="A12" s="4">
        <v>9</v>
      </c>
      <c r="B12" s="4" t="s">
        <v>2</v>
      </c>
      <c r="C12" s="4">
        <v>1.2749999999999999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</row>
    <row r="13" spans="1:8">
      <c r="A13" s="4">
        <v>10</v>
      </c>
      <c r="B13" s="4" t="s">
        <v>28</v>
      </c>
      <c r="C13" s="4">
        <v>3.3450000000000002</v>
      </c>
      <c r="D13" s="4">
        <v>1</v>
      </c>
      <c r="E13" s="4">
        <v>1</v>
      </c>
      <c r="F13" s="4">
        <v>0</v>
      </c>
      <c r="G13" s="4">
        <v>0</v>
      </c>
      <c r="H13" s="4">
        <v>0</v>
      </c>
    </row>
    <row r="14" spans="1:8">
      <c r="A14" s="4">
        <v>11</v>
      </c>
      <c r="B14" s="4" t="s">
        <v>6</v>
      </c>
      <c r="C14" s="4">
        <v>3.3450000000000002</v>
      </c>
      <c r="D14" s="4">
        <v>1</v>
      </c>
      <c r="E14" s="4">
        <v>1</v>
      </c>
      <c r="F14" s="4">
        <v>0</v>
      </c>
      <c r="G14" s="4">
        <v>0</v>
      </c>
      <c r="H14" s="4">
        <v>0</v>
      </c>
    </row>
    <row r="15" spans="1:8" s="17" customFormat="1">
      <c r="A15" s="16">
        <v>12</v>
      </c>
      <c r="B15" s="16" t="s">
        <v>43</v>
      </c>
      <c r="C15" s="16">
        <v>1.2749999999999999</v>
      </c>
      <c r="D15" s="16">
        <v>0</v>
      </c>
      <c r="E15" s="16">
        <v>1</v>
      </c>
      <c r="F15" s="16">
        <v>0</v>
      </c>
      <c r="G15" s="16">
        <v>0</v>
      </c>
      <c r="H15" s="16">
        <v>0</v>
      </c>
    </row>
    <row r="16" spans="1:8">
      <c r="A16" s="4">
        <v>13</v>
      </c>
      <c r="B16" s="4" t="s">
        <v>31</v>
      </c>
      <c r="C16" s="4">
        <v>1.2749999999999999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</row>
    <row r="17" spans="1:8" s="17" customFormat="1">
      <c r="A17" s="16">
        <v>14</v>
      </c>
      <c r="B17" s="16" t="s">
        <v>44</v>
      </c>
      <c r="C17" s="16">
        <v>2.5499999999999998</v>
      </c>
      <c r="D17" s="16">
        <v>0</v>
      </c>
      <c r="E17" s="16">
        <v>2</v>
      </c>
      <c r="F17" s="16">
        <v>0</v>
      </c>
      <c r="G17" s="16">
        <v>0</v>
      </c>
      <c r="H17" s="16">
        <v>0</v>
      </c>
    </row>
    <row r="18" spans="1:8">
      <c r="A18" s="4">
        <v>15</v>
      </c>
      <c r="B18" s="4" t="s">
        <v>1</v>
      </c>
      <c r="C18" s="4">
        <v>2.0699999999999998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s="4">
        <v>16</v>
      </c>
      <c r="B19" s="4" t="s">
        <v>7</v>
      </c>
      <c r="C19" s="4">
        <v>4.1399999999999997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 s="17" customFormat="1">
      <c r="A20" s="16">
        <v>16.5</v>
      </c>
      <c r="B20" s="16" t="s">
        <v>150</v>
      </c>
      <c r="C20" s="16">
        <v>1.2749999999999999</v>
      </c>
      <c r="D20" s="16">
        <v>0</v>
      </c>
      <c r="E20" s="16">
        <v>1</v>
      </c>
      <c r="F20" s="16">
        <v>0</v>
      </c>
      <c r="G20" s="16">
        <v>0</v>
      </c>
      <c r="H20" s="16">
        <v>0</v>
      </c>
    </row>
    <row r="21" spans="1:8">
      <c r="A21" s="16">
        <v>17</v>
      </c>
      <c r="B21" s="16" t="s">
        <v>21</v>
      </c>
      <c r="C21" s="16">
        <v>2.0699999999999998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</row>
    <row r="22" spans="1:8">
      <c r="A22" s="4">
        <v>18</v>
      </c>
      <c r="B22" s="4" t="s">
        <v>26</v>
      </c>
      <c r="C22" s="4">
        <v>2.0699999999999998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s="4">
        <v>19</v>
      </c>
      <c r="B23" s="4" t="s">
        <v>13</v>
      </c>
      <c r="C23" s="4">
        <v>1.2749999999999999</v>
      </c>
      <c r="D23" s="4">
        <v>0</v>
      </c>
      <c r="E23" s="4">
        <v>1</v>
      </c>
      <c r="F23" s="4">
        <v>0</v>
      </c>
      <c r="G23" s="4">
        <v>0</v>
      </c>
      <c r="H23" s="4">
        <v>0</v>
      </c>
    </row>
    <row r="24" spans="1:8">
      <c r="A24" s="4">
        <v>20</v>
      </c>
      <c r="B24" s="4" t="s">
        <v>4</v>
      </c>
      <c r="C24" s="4">
        <v>4.1399999999999997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 s="17" customFormat="1">
      <c r="A25" s="4">
        <v>21</v>
      </c>
      <c r="B25" s="4" t="s">
        <v>32</v>
      </c>
      <c r="C25" s="4">
        <v>4.1399999999999997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s="16">
        <v>22</v>
      </c>
      <c r="B26" s="16" t="s">
        <v>20</v>
      </c>
      <c r="C26" s="16">
        <v>2.0699999999999998</v>
      </c>
      <c r="D26" s="16">
        <v>1</v>
      </c>
      <c r="E26" s="16">
        <v>0</v>
      </c>
      <c r="F26" s="16">
        <v>0</v>
      </c>
      <c r="G26" s="16">
        <v>0</v>
      </c>
      <c r="H26" s="16">
        <v>0</v>
      </c>
    </row>
    <row r="27" spans="1:8" s="17" customFormat="1">
      <c r="A27" s="4">
        <v>23</v>
      </c>
      <c r="B27" s="4" t="s">
        <v>9</v>
      </c>
      <c r="C27" s="4">
        <v>2.5499999999999998</v>
      </c>
      <c r="D27" s="4">
        <v>0</v>
      </c>
      <c r="E27" s="4">
        <v>2</v>
      </c>
      <c r="F27" s="4">
        <v>0</v>
      </c>
      <c r="G27" s="4">
        <v>0</v>
      </c>
      <c r="H27" s="4">
        <v>0</v>
      </c>
    </row>
    <row r="28" spans="1:8">
      <c r="A28" s="4"/>
      <c r="B28" s="4"/>
      <c r="C28" s="4">
        <f>SUM(C2:C27)</f>
        <v>73.109999999999971</v>
      </c>
      <c r="D28" s="4">
        <f>SUM(D2:D27)</f>
        <v>23</v>
      </c>
      <c r="E28" s="4">
        <f>SUM(E2:E27)</f>
        <v>19</v>
      </c>
      <c r="F28" s="4">
        <f>SUM(F2:F27)</f>
        <v>1</v>
      </c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G30">
        <v>400</v>
      </c>
      <c r="H30">
        <v>250</v>
      </c>
    </row>
    <row r="31" spans="1:8" ht="13.15" customHeight="1">
      <c r="A31" s="4">
        <v>24</v>
      </c>
      <c r="B31" s="4" t="s">
        <v>52</v>
      </c>
      <c r="C31" s="4">
        <v>2.0699999999999998</v>
      </c>
      <c r="D31" s="4">
        <v>1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s="4">
        <v>25</v>
      </c>
      <c r="B32" s="4" t="s">
        <v>79</v>
      </c>
      <c r="C32" s="4">
        <v>2.0699999999999998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</row>
    <row r="33" spans="1:8" s="17" customFormat="1">
      <c r="A33" s="16">
        <v>26</v>
      </c>
      <c r="B33" s="16" t="s">
        <v>74</v>
      </c>
      <c r="C33" s="16">
        <v>1.2749999999999999</v>
      </c>
      <c r="D33" s="16">
        <v>0</v>
      </c>
      <c r="E33" s="16">
        <v>1</v>
      </c>
      <c r="F33" s="16">
        <v>0</v>
      </c>
      <c r="G33" s="16">
        <v>0</v>
      </c>
      <c r="H33" s="16">
        <v>0</v>
      </c>
    </row>
    <row r="34" spans="1:8" s="17" customFormat="1">
      <c r="A34" s="16">
        <v>27</v>
      </c>
      <c r="B34" s="16" t="s">
        <v>18</v>
      </c>
      <c r="C34" s="16">
        <v>2.0699999999999998</v>
      </c>
      <c r="D34" s="16">
        <v>1</v>
      </c>
      <c r="E34" s="16">
        <v>0</v>
      </c>
      <c r="F34" s="16">
        <v>0</v>
      </c>
      <c r="G34" s="16">
        <v>0</v>
      </c>
      <c r="H34" s="16">
        <v>0</v>
      </c>
    </row>
    <row r="35" spans="1:8">
      <c r="A35" s="4">
        <v>28</v>
      </c>
      <c r="B35" s="4" t="s">
        <v>11</v>
      </c>
      <c r="C35" s="4">
        <v>2.5499999999999998</v>
      </c>
      <c r="D35" s="4">
        <v>0</v>
      </c>
      <c r="E35" s="4">
        <v>2</v>
      </c>
      <c r="F35" s="4">
        <v>0</v>
      </c>
      <c r="G35" s="4">
        <v>0</v>
      </c>
      <c r="H35" s="4">
        <v>0</v>
      </c>
    </row>
    <row r="36" spans="1:8" s="17" customFormat="1">
      <c r="A36" s="16">
        <v>29</v>
      </c>
      <c r="B36" s="16" t="s">
        <v>69</v>
      </c>
      <c r="C36" s="16">
        <v>2.0699999999999998</v>
      </c>
      <c r="D36" s="16">
        <v>1</v>
      </c>
      <c r="E36" s="16">
        <v>0</v>
      </c>
      <c r="F36" s="16">
        <v>0</v>
      </c>
      <c r="G36" s="16">
        <v>0</v>
      </c>
      <c r="H36" s="16">
        <v>0</v>
      </c>
    </row>
    <row r="37" spans="1:8">
      <c r="A37" s="4">
        <v>30</v>
      </c>
      <c r="B37" s="4" t="s">
        <v>36</v>
      </c>
      <c r="C37" s="4">
        <v>2.0699999999999998</v>
      </c>
      <c r="D37" s="4">
        <v>1</v>
      </c>
      <c r="E37" s="4">
        <v>0</v>
      </c>
      <c r="F37" s="4">
        <v>0</v>
      </c>
      <c r="G37" s="4">
        <v>0</v>
      </c>
      <c r="H37" s="4">
        <v>0</v>
      </c>
    </row>
    <row r="38" spans="1:8" s="17" customFormat="1">
      <c r="A38" s="16">
        <v>31</v>
      </c>
      <c r="B38" s="16" t="s">
        <v>41</v>
      </c>
      <c r="C38" s="16">
        <v>1.2749999999999999</v>
      </c>
      <c r="D38" s="16">
        <v>0</v>
      </c>
      <c r="E38" s="16">
        <v>1</v>
      </c>
      <c r="F38" s="16">
        <v>0</v>
      </c>
      <c r="G38" s="16">
        <v>0</v>
      </c>
      <c r="H38" s="16">
        <v>0</v>
      </c>
    </row>
    <row r="39" spans="1:8">
      <c r="A39" s="4">
        <v>32</v>
      </c>
      <c r="B39" s="4" t="s">
        <v>57</v>
      </c>
      <c r="C39" s="4">
        <v>1.2749999999999999</v>
      </c>
      <c r="D39" s="4">
        <v>0</v>
      </c>
      <c r="E39" s="4">
        <v>1</v>
      </c>
      <c r="F39" s="4">
        <v>0</v>
      </c>
      <c r="G39" s="4">
        <v>0</v>
      </c>
      <c r="H39" s="4">
        <v>0</v>
      </c>
    </row>
    <row r="40" spans="1:8">
      <c r="A40" s="4">
        <v>33</v>
      </c>
      <c r="B40" s="4" t="s">
        <v>78</v>
      </c>
      <c r="C40" s="4">
        <v>2.5499999999999998</v>
      </c>
      <c r="D40" s="4">
        <v>0</v>
      </c>
      <c r="E40" s="4">
        <v>1</v>
      </c>
      <c r="F40" s="4">
        <v>1</v>
      </c>
      <c r="G40" s="4">
        <v>0</v>
      </c>
      <c r="H40" s="4">
        <v>0</v>
      </c>
    </row>
    <row r="41" spans="1:8">
      <c r="A41" s="4">
        <v>34</v>
      </c>
      <c r="B41" s="4" t="s">
        <v>8</v>
      </c>
      <c r="C41" s="4">
        <v>2.5499999999999998</v>
      </c>
      <c r="D41" s="4">
        <v>0</v>
      </c>
      <c r="E41" s="4">
        <v>2</v>
      </c>
      <c r="F41" s="4">
        <v>0</v>
      </c>
      <c r="G41" s="4">
        <v>0</v>
      </c>
      <c r="H41" s="4">
        <v>0</v>
      </c>
    </row>
    <row r="42" spans="1:8" s="17" customFormat="1">
      <c r="A42" s="16">
        <v>35</v>
      </c>
      <c r="B42" s="16" t="s">
        <v>19</v>
      </c>
      <c r="C42" s="16">
        <v>2.0699999999999998</v>
      </c>
      <c r="D42" s="16">
        <v>1</v>
      </c>
      <c r="E42" s="16">
        <v>0</v>
      </c>
      <c r="F42" s="16">
        <v>0</v>
      </c>
      <c r="G42" s="16">
        <v>0</v>
      </c>
      <c r="H42" s="16">
        <v>0</v>
      </c>
    </row>
    <row r="43" spans="1:8">
      <c r="A43" s="4">
        <v>36</v>
      </c>
      <c r="B43" s="4" t="s">
        <v>16</v>
      </c>
      <c r="C43" s="4">
        <v>1.2749999999999999</v>
      </c>
      <c r="D43" s="4">
        <v>0</v>
      </c>
      <c r="E43" s="4">
        <v>1</v>
      </c>
      <c r="F43" s="4">
        <v>0</v>
      </c>
      <c r="G43" s="4">
        <v>0</v>
      </c>
      <c r="H43" s="4">
        <v>0</v>
      </c>
    </row>
    <row r="44" spans="1:8">
      <c r="A44" s="4">
        <v>37</v>
      </c>
      <c r="B44" s="4" t="s">
        <v>55</v>
      </c>
      <c r="C44" s="4">
        <v>3.8250000000000002</v>
      </c>
      <c r="D44" s="4">
        <v>0</v>
      </c>
      <c r="E44" s="4">
        <v>3</v>
      </c>
      <c r="F44" s="4">
        <v>0</v>
      </c>
      <c r="G44" s="4">
        <v>0</v>
      </c>
      <c r="H44" s="4">
        <v>0</v>
      </c>
    </row>
    <row r="45" spans="1:8" s="17" customFormat="1" ht="15.75" customHeight="1">
      <c r="A45" s="16">
        <v>38</v>
      </c>
      <c r="B45" s="16" t="s">
        <v>61</v>
      </c>
      <c r="C45" s="16">
        <v>2.0699999999999998</v>
      </c>
      <c r="D45" s="16">
        <v>1</v>
      </c>
      <c r="E45" s="16">
        <v>0</v>
      </c>
      <c r="F45" s="16">
        <v>0</v>
      </c>
      <c r="G45" s="16">
        <v>0</v>
      </c>
      <c r="H45" s="16">
        <v>0</v>
      </c>
    </row>
    <row r="46" spans="1:8">
      <c r="A46" s="4">
        <v>39</v>
      </c>
      <c r="B46" s="4" t="s">
        <v>17</v>
      </c>
      <c r="C46" s="4">
        <v>2.0699999999999998</v>
      </c>
      <c r="D46" s="4">
        <v>1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s="4">
        <v>40</v>
      </c>
      <c r="B47" s="4" t="s">
        <v>38</v>
      </c>
      <c r="C47" s="4">
        <v>4.1399999999999997</v>
      </c>
      <c r="D47" s="4">
        <v>2</v>
      </c>
      <c r="E47" s="4">
        <v>0</v>
      </c>
      <c r="F47" s="4">
        <v>0</v>
      </c>
      <c r="G47" s="4">
        <v>0</v>
      </c>
      <c r="H47" s="4">
        <v>0</v>
      </c>
    </row>
    <row r="48" spans="1:8" s="17" customFormat="1">
      <c r="A48" s="16">
        <v>41</v>
      </c>
      <c r="B48" s="16" t="s">
        <v>33</v>
      </c>
      <c r="C48" s="16">
        <v>1.2749999999999999</v>
      </c>
      <c r="D48" s="16">
        <v>0</v>
      </c>
      <c r="E48" s="16">
        <v>1</v>
      </c>
      <c r="F48" s="16">
        <v>0</v>
      </c>
      <c r="G48" s="16">
        <v>0</v>
      </c>
      <c r="H48" s="16">
        <v>0</v>
      </c>
    </row>
    <row r="49" spans="1:8" s="17" customFormat="1">
      <c r="A49" s="16">
        <v>42</v>
      </c>
      <c r="B49" s="16" t="s">
        <v>50</v>
      </c>
      <c r="C49" s="16">
        <v>3.7</v>
      </c>
      <c r="D49" s="16">
        <v>0</v>
      </c>
      <c r="E49" s="16">
        <v>0</v>
      </c>
      <c r="F49" s="16">
        <v>0</v>
      </c>
      <c r="G49" s="16">
        <v>0</v>
      </c>
      <c r="H49" s="16">
        <v>1</v>
      </c>
    </row>
    <row r="50" spans="1:8">
      <c r="A50" s="4">
        <v>42.5</v>
      </c>
      <c r="B50" s="4" t="s">
        <v>23</v>
      </c>
      <c r="C50" s="4">
        <v>1.2749999999999999</v>
      </c>
      <c r="D50" s="4">
        <v>0</v>
      </c>
      <c r="E50" s="4">
        <v>1</v>
      </c>
      <c r="F50" s="4">
        <v>0</v>
      </c>
      <c r="G50" s="4">
        <v>0</v>
      </c>
      <c r="H50" s="4">
        <v>0</v>
      </c>
    </row>
    <row r="51" spans="1:8">
      <c r="A51" s="4">
        <v>43</v>
      </c>
      <c r="B51" s="4" t="s">
        <v>46</v>
      </c>
      <c r="C51" s="4">
        <v>4.1399999999999997</v>
      </c>
      <c r="D51" s="4">
        <v>2</v>
      </c>
      <c r="E51" s="4">
        <v>2</v>
      </c>
      <c r="F51" s="4">
        <v>0</v>
      </c>
      <c r="G51" s="4">
        <v>0</v>
      </c>
      <c r="H51" s="4">
        <v>0</v>
      </c>
    </row>
    <row r="52" spans="1:8">
      <c r="A52" s="4">
        <v>43.5</v>
      </c>
      <c r="B52" s="4" t="s">
        <v>158</v>
      </c>
      <c r="C52" s="4">
        <v>2.0699999999999998</v>
      </c>
      <c r="D52" s="4">
        <v>1</v>
      </c>
      <c r="E52" s="4"/>
      <c r="F52" s="4"/>
      <c r="G52" s="4"/>
      <c r="H52" s="4"/>
    </row>
    <row r="53" spans="1:8" s="17" customFormat="1">
      <c r="A53" s="16">
        <v>44</v>
      </c>
      <c r="B53" s="16" t="s">
        <v>5</v>
      </c>
      <c r="C53" s="16">
        <v>2.0699999999999998</v>
      </c>
      <c r="D53" s="16">
        <v>1</v>
      </c>
      <c r="E53" s="16">
        <v>0</v>
      </c>
      <c r="F53" s="16">
        <v>0</v>
      </c>
      <c r="G53" s="16">
        <v>0</v>
      </c>
      <c r="H53" s="16">
        <v>0</v>
      </c>
    </row>
    <row r="54" spans="1:8" s="17" customFormat="1">
      <c r="A54" s="16">
        <v>45</v>
      </c>
      <c r="B54" s="16" t="s">
        <v>22</v>
      </c>
      <c r="C54" s="16">
        <v>2.0699999999999998</v>
      </c>
      <c r="D54" s="16">
        <v>1</v>
      </c>
      <c r="E54" s="16">
        <v>0</v>
      </c>
      <c r="F54" s="16">
        <v>0</v>
      </c>
      <c r="G54" s="16">
        <v>0</v>
      </c>
      <c r="H54" s="16">
        <v>0</v>
      </c>
    </row>
    <row r="55" spans="1:8">
      <c r="A55" s="4">
        <v>46</v>
      </c>
      <c r="B55" s="4" t="s">
        <v>34</v>
      </c>
      <c r="C55" s="4">
        <v>1.2749999999999999</v>
      </c>
      <c r="D55" s="4">
        <v>0</v>
      </c>
      <c r="E55" s="4">
        <v>1</v>
      </c>
      <c r="F55" s="4">
        <v>0</v>
      </c>
      <c r="G55" s="4">
        <v>0</v>
      </c>
      <c r="H55" s="4">
        <v>0</v>
      </c>
    </row>
    <row r="56" spans="1:8">
      <c r="A56" s="4">
        <v>47</v>
      </c>
      <c r="B56" s="4" t="s">
        <v>25</v>
      </c>
      <c r="C56" s="4">
        <v>1.2749999999999999</v>
      </c>
      <c r="D56" s="4">
        <v>0</v>
      </c>
      <c r="E56" s="4">
        <v>1</v>
      </c>
      <c r="F56" s="4">
        <v>0</v>
      </c>
      <c r="G56" s="4">
        <v>0</v>
      </c>
      <c r="H56" s="4">
        <v>0</v>
      </c>
    </row>
    <row r="57" spans="1:8">
      <c r="A57" s="4">
        <v>48</v>
      </c>
      <c r="B57" s="4" t="s">
        <v>0</v>
      </c>
      <c r="C57" s="4">
        <v>2.0699999999999998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</row>
    <row r="58" spans="1:8" s="17" customFormat="1">
      <c r="A58" s="16">
        <v>49</v>
      </c>
      <c r="B58" s="16" t="s">
        <v>62</v>
      </c>
      <c r="C58" s="16">
        <v>2.0699999999999998</v>
      </c>
      <c r="D58" s="16">
        <v>1</v>
      </c>
      <c r="E58" s="16">
        <v>0</v>
      </c>
      <c r="F58" s="16">
        <v>0</v>
      </c>
      <c r="G58" s="16">
        <v>0</v>
      </c>
      <c r="H58" s="16">
        <v>0</v>
      </c>
    </row>
    <row r="59" spans="1:8">
      <c r="A59" s="4">
        <v>50</v>
      </c>
      <c r="B59" s="4" t="s">
        <v>47</v>
      </c>
      <c r="C59" s="4">
        <v>1.2749999999999999</v>
      </c>
      <c r="D59" s="4">
        <v>0</v>
      </c>
      <c r="E59" s="4">
        <v>1</v>
      </c>
      <c r="F59" s="4">
        <v>0</v>
      </c>
      <c r="G59" s="4">
        <v>0</v>
      </c>
      <c r="H59" s="4">
        <v>0</v>
      </c>
    </row>
    <row r="60" spans="1:8">
      <c r="A60" s="4">
        <v>51</v>
      </c>
      <c r="B60" s="4" t="s">
        <v>58</v>
      </c>
      <c r="C60" s="4">
        <v>2.0699999999999998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</row>
    <row r="61" spans="1:8" s="17" customFormat="1">
      <c r="A61" s="16">
        <v>52</v>
      </c>
      <c r="B61" s="16" t="s">
        <v>63</v>
      </c>
      <c r="C61" s="16">
        <v>2.0699999999999998</v>
      </c>
      <c r="D61" s="16">
        <v>1</v>
      </c>
      <c r="E61" s="16">
        <v>0</v>
      </c>
      <c r="F61" s="16">
        <v>0</v>
      </c>
      <c r="G61" s="16">
        <v>0</v>
      </c>
      <c r="H61" s="16">
        <v>0</v>
      </c>
    </row>
    <row r="62" spans="1:8">
      <c r="A62" s="4">
        <v>54</v>
      </c>
      <c r="B62" s="4" t="s">
        <v>54</v>
      </c>
      <c r="C62" s="4">
        <v>2.0699999999999998</v>
      </c>
      <c r="D62" s="4">
        <v>1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s="4">
        <v>55</v>
      </c>
      <c r="B63" s="4" t="s">
        <v>12</v>
      </c>
      <c r="C63" s="4"/>
      <c r="D63" s="4">
        <v>1</v>
      </c>
      <c r="E63" s="4">
        <v>0</v>
      </c>
      <c r="F63" s="4">
        <v>0</v>
      </c>
      <c r="G63" s="4">
        <v>0</v>
      </c>
      <c r="H63" s="4">
        <v>0</v>
      </c>
    </row>
    <row r="64" spans="1:8" s="17" customFormat="1">
      <c r="A64" s="16">
        <v>56</v>
      </c>
      <c r="B64" s="16" t="s">
        <v>15</v>
      </c>
      <c r="C64" s="16"/>
      <c r="D64" s="16">
        <v>1</v>
      </c>
      <c r="E64" s="16">
        <v>0</v>
      </c>
      <c r="F64" s="16">
        <v>0</v>
      </c>
      <c r="G64" s="16">
        <v>1</v>
      </c>
      <c r="H64" s="16">
        <v>0</v>
      </c>
    </row>
    <row r="65" spans="1:8">
      <c r="A65" s="4"/>
      <c r="B65" s="4"/>
      <c r="C65" s="4">
        <f t="shared" ref="C65:H65" si="0">SUM(C31:C64)</f>
        <v>68.049999999999983</v>
      </c>
      <c r="D65" s="4">
        <f t="shared" si="0"/>
        <v>22</v>
      </c>
      <c r="E65" s="4">
        <f t="shared" si="0"/>
        <v>19</v>
      </c>
      <c r="F65" s="4">
        <f t="shared" si="0"/>
        <v>1</v>
      </c>
      <c r="G65" s="4">
        <f t="shared" si="0"/>
        <v>1</v>
      </c>
      <c r="H65" s="4">
        <f t="shared" si="0"/>
        <v>1</v>
      </c>
    </row>
    <row r="67" spans="1:8">
      <c r="A67" s="18"/>
      <c r="B67" s="18" t="s">
        <v>156</v>
      </c>
      <c r="C67" s="18"/>
      <c r="D67" s="18"/>
    </row>
    <row r="115" ht="15.7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Roman,Обычный"&amp;12ffffff&amp;A</oddHeader>
    <oddFooter>&amp;C&amp;"Times New Roman,Обычный"&amp;12ffffffСтраница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opLeftCell="A3" zoomScale="106" zoomScaleNormal="106" workbookViewId="0">
      <selection activeCell="B64" sqref="B64:C68"/>
    </sheetView>
  </sheetViews>
  <sheetFormatPr defaultColWidth="11.5703125" defaultRowHeight="15"/>
  <cols>
    <col min="1" max="1" width="5.28515625" bestFit="1" customWidth="1"/>
    <col min="2" max="2" width="51.28515625" customWidth="1"/>
    <col min="3" max="3" width="6.7109375" customWidth="1"/>
    <col min="4" max="8" width="3" customWidth="1"/>
    <col min="9" max="9" width="2.7109375" customWidth="1"/>
  </cols>
  <sheetData>
    <row r="1" spans="1:9">
      <c r="A1" s="18">
        <v>1</v>
      </c>
      <c r="B1" s="18" t="s">
        <v>29</v>
      </c>
      <c r="C1" s="18">
        <v>3.8249999999999997</v>
      </c>
      <c r="D1" s="18">
        <v>0</v>
      </c>
      <c r="E1" s="18">
        <v>0</v>
      </c>
      <c r="F1" s="18">
        <v>0</v>
      </c>
      <c r="G1" s="18">
        <v>0</v>
      </c>
      <c r="H1" s="18">
        <v>0</v>
      </c>
      <c r="I1" s="18">
        <v>1</v>
      </c>
    </row>
    <row r="2" spans="1:9">
      <c r="A2" s="18">
        <v>1</v>
      </c>
      <c r="B2" s="18" t="s">
        <v>30</v>
      </c>
      <c r="C2" s="18">
        <v>4.1399999999999997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1</v>
      </c>
    </row>
    <row r="3" spans="1:9">
      <c r="A3" s="18">
        <v>1</v>
      </c>
      <c r="B3" s="18" t="s">
        <v>10</v>
      </c>
      <c r="C3" s="18">
        <v>1.2749999999999999</v>
      </c>
      <c r="D3" s="18">
        <v>2</v>
      </c>
      <c r="E3" s="18">
        <v>5</v>
      </c>
      <c r="F3" s="18">
        <v>0</v>
      </c>
      <c r="G3" s="18">
        <v>0</v>
      </c>
      <c r="H3" s="18">
        <v>0</v>
      </c>
      <c r="I3" s="18">
        <v>1</v>
      </c>
    </row>
    <row r="4" spans="1:9">
      <c r="A4" s="18">
        <v>2</v>
      </c>
      <c r="B4" s="18" t="s">
        <v>3</v>
      </c>
      <c r="C4" s="18">
        <v>6.6899999999999995</v>
      </c>
      <c r="D4" s="18">
        <v>2</v>
      </c>
      <c r="E4" s="18">
        <v>2</v>
      </c>
      <c r="F4" s="18">
        <v>0</v>
      </c>
      <c r="G4" s="18">
        <v>0</v>
      </c>
      <c r="H4" s="18">
        <v>0</v>
      </c>
      <c r="I4" s="18">
        <v>1</v>
      </c>
    </row>
    <row r="5" spans="1:9" s="17" customFormat="1">
      <c r="A5" s="19">
        <v>3</v>
      </c>
      <c r="B5" s="19" t="s">
        <v>5</v>
      </c>
      <c r="C5" s="19">
        <v>2.0699999999999998</v>
      </c>
      <c r="D5" s="19">
        <v>1</v>
      </c>
      <c r="E5" s="19">
        <v>0</v>
      </c>
      <c r="F5" s="19">
        <v>0</v>
      </c>
      <c r="G5" s="19">
        <v>0</v>
      </c>
      <c r="H5" s="19">
        <v>0</v>
      </c>
      <c r="I5" s="19">
        <v>1</v>
      </c>
    </row>
    <row r="6" spans="1:9">
      <c r="A6" s="18">
        <v>4</v>
      </c>
      <c r="B6" s="18" t="s">
        <v>6</v>
      </c>
      <c r="C6" s="18">
        <v>3.3449999999999998</v>
      </c>
      <c r="D6" s="18">
        <v>1</v>
      </c>
      <c r="E6" s="18">
        <v>1</v>
      </c>
      <c r="F6" s="18">
        <v>0</v>
      </c>
      <c r="G6" s="18">
        <v>0</v>
      </c>
      <c r="H6" s="18">
        <v>0</v>
      </c>
      <c r="I6" s="18">
        <v>1</v>
      </c>
    </row>
    <row r="7" spans="1:9">
      <c r="A7" s="18">
        <v>5</v>
      </c>
      <c r="B7" s="18" t="s">
        <v>123</v>
      </c>
      <c r="C7" s="18">
        <v>2.5499999999999998</v>
      </c>
      <c r="D7" s="18">
        <v>0</v>
      </c>
      <c r="E7" s="18">
        <v>2</v>
      </c>
      <c r="F7" s="18">
        <v>0</v>
      </c>
      <c r="G7" s="18">
        <v>0</v>
      </c>
      <c r="H7" s="18">
        <v>0</v>
      </c>
      <c r="I7" s="18">
        <v>1</v>
      </c>
    </row>
    <row r="8" spans="1:9">
      <c r="A8" s="18">
        <v>6</v>
      </c>
      <c r="B8" s="18" t="s">
        <v>40</v>
      </c>
      <c r="C8" s="18">
        <v>2.0699999999999998</v>
      </c>
      <c r="D8" s="18">
        <v>1</v>
      </c>
      <c r="E8" s="18">
        <v>0</v>
      </c>
      <c r="F8" s="18">
        <v>0</v>
      </c>
      <c r="G8" s="18">
        <v>0</v>
      </c>
      <c r="H8" s="18">
        <v>0</v>
      </c>
      <c r="I8" s="18">
        <v>1</v>
      </c>
    </row>
    <row r="9" spans="1:9" s="17" customFormat="1">
      <c r="A9" s="19">
        <v>7</v>
      </c>
      <c r="B9" s="19" t="s">
        <v>51</v>
      </c>
      <c r="C9" s="19">
        <v>2.0699999999999998</v>
      </c>
      <c r="D9" s="19">
        <v>1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</row>
    <row r="10" spans="1:9">
      <c r="A10" s="18">
        <v>8</v>
      </c>
      <c r="B10" s="18" t="s">
        <v>45</v>
      </c>
      <c r="C10" s="18">
        <v>3.7</v>
      </c>
      <c r="D10" s="18">
        <v>0</v>
      </c>
      <c r="E10" s="18">
        <v>0</v>
      </c>
      <c r="F10" s="18">
        <v>1</v>
      </c>
      <c r="G10" s="18">
        <v>0</v>
      </c>
      <c r="H10" s="18">
        <v>0</v>
      </c>
      <c r="I10" s="18">
        <v>1</v>
      </c>
    </row>
    <row r="11" spans="1:9">
      <c r="A11" s="18"/>
      <c r="B11" s="18" t="s">
        <v>73</v>
      </c>
      <c r="C11" s="18">
        <v>1.2569999999999999</v>
      </c>
      <c r="D11" s="18">
        <v>0</v>
      </c>
      <c r="E11" s="18">
        <v>1</v>
      </c>
      <c r="F11" s="18">
        <v>0</v>
      </c>
      <c r="G11" s="18">
        <v>0</v>
      </c>
      <c r="H11" s="18">
        <v>0</v>
      </c>
      <c r="I11" s="18">
        <v>1</v>
      </c>
    </row>
    <row r="12" spans="1:9">
      <c r="A12" s="18">
        <v>9</v>
      </c>
      <c r="B12" s="18" t="s">
        <v>116</v>
      </c>
      <c r="C12" s="18">
        <v>3.3449999999999998</v>
      </c>
      <c r="D12" s="18">
        <v>1</v>
      </c>
      <c r="E12" s="18">
        <v>1</v>
      </c>
      <c r="F12" s="18">
        <v>0</v>
      </c>
      <c r="G12" s="18">
        <v>0</v>
      </c>
      <c r="H12" s="18">
        <v>0</v>
      </c>
      <c r="I12" s="18">
        <v>1</v>
      </c>
    </row>
    <row r="13" spans="1:9">
      <c r="A13" s="18">
        <v>10</v>
      </c>
      <c r="B13" s="18" t="s">
        <v>49</v>
      </c>
      <c r="C13" s="18">
        <v>1.2749999999999999</v>
      </c>
      <c r="D13" s="18">
        <v>0</v>
      </c>
      <c r="E13" s="18">
        <v>1</v>
      </c>
      <c r="F13" s="18">
        <v>0</v>
      </c>
      <c r="G13" s="18">
        <v>0</v>
      </c>
      <c r="H13" s="18">
        <v>0</v>
      </c>
      <c r="I13" s="18">
        <v>1</v>
      </c>
    </row>
    <row r="14" spans="1:9">
      <c r="A14" s="18">
        <v>11</v>
      </c>
      <c r="B14" s="18" t="s">
        <v>2</v>
      </c>
      <c r="C14" s="18">
        <v>1.2749999999999999</v>
      </c>
      <c r="D14" s="18">
        <v>0</v>
      </c>
      <c r="E14" s="18">
        <v>1</v>
      </c>
      <c r="F14" s="18">
        <v>0</v>
      </c>
      <c r="G14" s="18">
        <v>0</v>
      </c>
      <c r="H14" s="18">
        <v>0</v>
      </c>
      <c r="I14" s="18">
        <v>1</v>
      </c>
    </row>
    <row r="15" spans="1:9">
      <c r="A15" s="18"/>
      <c r="B15" s="18" t="s">
        <v>68</v>
      </c>
      <c r="C15" s="18">
        <v>2.5499999999999998</v>
      </c>
      <c r="D15" s="18">
        <v>0</v>
      </c>
      <c r="E15" s="18">
        <v>2</v>
      </c>
      <c r="F15" s="18">
        <v>0</v>
      </c>
      <c r="G15" s="18">
        <v>0</v>
      </c>
      <c r="H15" s="18">
        <v>0</v>
      </c>
      <c r="I15" s="18">
        <v>1</v>
      </c>
    </row>
    <row r="16" spans="1:9">
      <c r="A16" s="18">
        <v>12</v>
      </c>
      <c r="B16" s="18" t="s">
        <v>35</v>
      </c>
      <c r="C16" s="18">
        <v>2.0699999999999998</v>
      </c>
      <c r="D16" s="18">
        <v>1</v>
      </c>
      <c r="E16" s="18">
        <v>0</v>
      </c>
      <c r="F16" s="18">
        <v>0</v>
      </c>
      <c r="G16" s="18">
        <v>0</v>
      </c>
      <c r="H16" s="18">
        <v>0</v>
      </c>
      <c r="I16" s="18">
        <v>1</v>
      </c>
    </row>
    <row r="17" spans="1:9">
      <c r="A17" s="18">
        <v>13</v>
      </c>
      <c r="B17" s="18" t="s">
        <v>37</v>
      </c>
      <c r="C17" s="18">
        <v>1.2749999999999999</v>
      </c>
      <c r="D17" s="18">
        <v>0</v>
      </c>
      <c r="E17" s="18">
        <v>1</v>
      </c>
      <c r="F17" s="18">
        <v>0</v>
      </c>
      <c r="G17" s="18">
        <v>0</v>
      </c>
      <c r="H17" s="18">
        <v>0</v>
      </c>
      <c r="I17" s="18">
        <v>1</v>
      </c>
    </row>
    <row r="18" spans="1:9">
      <c r="A18" s="18">
        <v>14</v>
      </c>
      <c r="B18" s="18" t="s">
        <v>72</v>
      </c>
      <c r="C18" s="18">
        <v>3.3449999999999998</v>
      </c>
      <c r="D18" s="18">
        <v>1</v>
      </c>
      <c r="E18" s="18">
        <v>1</v>
      </c>
      <c r="F18" s="18">
        <v>0</v>
      </c>
      <c r="G18" s="18">
        <v>0</v>
      </c>
      <c r="H18" s="18">
        <v>0</v>
      </c>
      <c r="I18" s="18">
        <v>1</v>
      </c>
    </row>
    <row r="19" spans="1:9">
      <c r="A19" s="18">
        <v>15</v>
      </c>
      <c r="B19" s="18" t="s">
        <v>100</v>
      </c>
      <c r="C19" s="18">
        <v>2.5499999999999998</v>
      </c>
      <c r="D19" s="18">
        <v>0</v>
      </c>
      <c r="E19" s="18">
        <v>2</v>
      </c>
      <c r="F19" s="18">
        <v>0</v>
      </c>
      <c r="G19" s="18">
        <v>0</v>
      </c>
      <c r="H19" s="18">
        <v>0</v>
      </c>
      <c r="I19" s="18">
        <v>1</v>
      </c>
    </row>
    <row r="20" spans="1:9">
      <c r="A20" s="18">
        <v>17</v>
      </c>
      <c r="B20" s="18" t="s">
        <v>1</v>
      </c>
      <c r="C20" s="18">
        <v>2.0699999999999998</v>
      </c>
      <c r="D20" s="18">
        <v>1</v>
      </c>
      <c r="E20" s="18">
        <v>0</v>
      </c>
      <c r="F20" s="18">
        <v>0</v>
      </c>
      <c r="G20" s="18">
        <v>0</v>
      </c>
      <c r="H20" s="18">
        <v>0</v>
      </c>
      <c r="I20" s="18">
        <v>1</v>
      </c>
    </row>
    <row r="21" spans="1:9">
      <c r="A21" s="18">
        <v>18</v>
      </c>
      <c r="B21" s="18" t="s">
        <v>8</v>
      </c>
      <c r="C21" s="18">
        <v>2.5499999999999998</v>
      </c>
      <c r="D21" s="18">
        <v>0</v>
      </c>
      <c r="E21" s="18">
        <v>2</v>
      </c>
      <c r="F21" s="18">
        <v>0</v>
      </c>
      <c r="G21" s="18">
        <v>0</v>
      </c>
      <c r="H21" s="18">
        <v>0</v>
      </c>
      <c r="I21" s="18">
        <v>1</v>
      </c>
    </row>
    <row r="22" spans="1:9">
      <c r="A22" s="18">
        <v>19</v>
      </c>
      <c r="B22" s="18" t="s">
        <v>121</v>
      </c>
      <c r="C22" s="18">
        <v>2.0699999999999998</v>
      </c>
      <c r="D22" s="18">
        <v>1</v>
      </c>
      <c r="E22" s="18">
        <v>0</v>
      </c>
      <c r="F22" s="18">
        <v>0</v>
      </c>
      <c r="G22" s="18">
        <v>0</v>
      </c>
      <c r="H22" s="18">
        <v>0</v>
      </c>
      <c r="I22" s="18">
        <v>1</v>
      </c>
    </row>
    <row r="23" spans="1:9" s="17" customFormat="1">
      <c r="A23" s="19">
        <v>20</v>
      </c>
      <c r="B23" s="19" t="s">
        <v>76</v>
      </c>
      <c r="C23" s="19">
        <v>4.1399999999999997</v>
      </c>
      <c r="D23" s="19">
        <v>2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</row>
    <row r="24" spans="1:9">
      <c r="A24" s="18">
        <v>21</v>
      </c>
      <c r="B24" s="18" t="s">
        <v>108</v>
      </c>
      <c r="C24" s="18">
        <v>2.7</v>
      </c>
      <c r="D24" s="18">
        <v>1</v>
      </c>
      <c r="E24" s="18">
        <v>0</v>
      </c>
      <c r="F24" s="18">
        <v>0</v>
      </c>
      <c r="G24" s="18">
        <v>0</v>
      </c>
      <c r="H24" s="18">
        <v>0</v>
      </c>
      <c r="I24" s="18">
        <v>1</v>
      </c>
    </row>
    <row r="25" spans="1:9">
      <c r="A25" s="18">
        <v>22</v>
      </c>
      <c r="B25" s="18" t="s">
        <v>7</v>
      </c>
      <c r="C25" s="18">
        <v>4.1399999999999997</v>
      </c>
      <c r="D25" s="18">
        <v>2</v>
      </c>
      <c r="E25" s="18">
        <v>0</v>
      </c>
      <c r="F25" s="18">
        <v>0</v>
      </c>
      <c r="G25" s="18">
        <v>0</v>
      </c>
      <c r="H25" s="18">
        <v>0</v>
      </c>
      <c r="I25" s="18">
        <v>1</v>
      </c>
    </row>
    <row r="26" spans="1:9" s="17" customFormat="1">
      <c r="A26" s="19">
        <v>23</v>
      </c>
      <c r="B26" s="19" t="s">
        <v>65</v>
      </c>
      <c r="C26" s="19">
        <v>2.0699999999999998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1</v>
      </c>
    </row>
    <row r="27" spans="1:9" s="17" customFormat="1">
      <c r="A27" s="19">
        <v>24</v>
      </c>
      <c r="B27" s="19" t="s">
        <v>42</v>
      </c>
      <c r="C27" s="19">
        <v>1.2749999999999999</v>
      </c>
      <c r="D27" s="19">
        <v>0</v>
      </c>
      <c r="E27" s="19">
        <v>1</v>
      </c>
      <c r="F27" s="19">
        <v>0</v>
      </c>
      <c r="G27" s="19">
        <v>0</v>
      </c>
      <c r="H27" s="19">
        <v>0</v>
      </c>
      <c r="I27" s="19">
        <v>1</v>
      </c>
    </row>
    <row r="28" spans="1:9">
      <c r="A28" s="18">
        <v>25</v>
      </c>
      <c r="B28" s="18" t="s">
        <v>4</v>
      </c>
      <c r="C28" s="18">
        <v>4.1399999999999997</v>
      </c>
      <c r="D28" s="18">
        <v>2</v>
      </c>
      <c r="E28" s="18">
        <v>0</v>
      </c>
      <c r="F28" s="18">
        <v>0</v>
      </c>
      <c r="G28" s="18">
        <v>0</v>
      </c>
      <c r="H28" s="18">
        <v>0</v>
      </c>
      <c r="I28" s="18">
        <v>1</v>
      </c>
    </row>
    <row r="29" spans="1:9">
      <c r="A29" s="18">
        <v>26</v>
      </c>
      <c r="B29" s="18" t="s">
        <v>9</v>
      </c>
      <c r="C29" s="18">
        <v>2.5499999999999998</v>
      </c>
      <c r="D29" s="18">
        <v>0</v>
      </c>
      <c r="E29" s="18">
        <v>2</v>
      </c>
      <c r="F29" s="18">
        <v>0</v>
      </c>
      <c r="G29" s="18">
        <v>0</v>
      </c>
      <c r="H29" s="18">
        <v>0</v>
      </c>
      <c r="I29" s="18">
        <v>1</v>
      </c>
    </row>
    <row r="30" spans="1:9">
      <c r="A30" s="18"/>
      <c r="B30" s="18"/>
      <c r="C30" s="18">
        <f>SUM(C1:C29)</f>
        <v>78.381999999999977</v>
      </c>
      <c r="D30" s="18"/>
      <c r="E30" s="18"/>
      <c r="F30" s="18"/>
      <c r="G30" s="18"/>
      <c r="H30" s="18"/>
      <c r="I30" s="18"/>
    </row>
    <row r="32" spans="1:9">
      <c r="A32" s="18">
        <v>26.5</v>
      </c>
      <c r="B32" s="18" t="s">
        <v>11</v>
      </c>
      <c r="C32" s="18">
        <v>2.5499999999999998</v>
      </c>
      <c r="D32" s="18">
        <v>0</v>
      </c>
      <c r="E32" s="18">
        <v>2</v>
      </c>
      <c r="F32" s="18">
        <v>0</v>
      </c>
      <c r="G32" s="18">
        <v>0</v>
      </c>
      <c r="H32" s="18">
        <v>0</v>
      </c>
      <c r="I32" s="18">
        <v>1</v>
      </c>
    </row>
    <row r="33" spans="1:9">
      <c r="A33" s="18">
        <v>27</v>
      </c>
      <c r="B33" s="18" t="s">
        <v>128</v>
      </c>
      <c r="C33" s="18">
        <v>3.8249999999999997</v>
      </c>
      <c r="D33" s="18">
        <v>0</v>
      </c>
      <c r="E33" s="18">
        <v>3</v>
      </c>
      <c r="F33" s="18">
        <v>0</v>
      </c>
      <c r="G33" s="18">
        <v>0</v>
      </c>
      <c r="H33" s="18">
        <v>0</v>
      </c>
      <c r="I33" s="18">
        <v>1</v>
      </c>
    </row>
    <row r="34" spans="1:9" s="17" customFormat="1">
      <c r="A34" s="19">
        <v>28</v>
      </c>
      <c r="B34" s="19" t="s">
        <v>60</v>
      </c>
      <c r="C34" s="19">
        <v>2.0699999999999998</v>
      </c>
      <c r="D34" s="19">
        <v>1</v>
      </c>
      <c r="E34" s="19">
        <v>0</v>
      </c>
      <c r="F34" s="19">
        <v>0</v>
      </c>
      <c r="G34" s="19">
        <v>0</v>
      </c>
      <c r="H34" s="19">
        <v>0</v>
      </c>
      <c r="I34" s="19">
        <v>1</v>
      </c>
    </row>
    <row r="35" spans="1:9" s="17" customFormat="1">
      <c r="A35" s="19">
        <v>29</v>
      </c>
      <c r="B35" s="19" t="s">
        <v>64</v>
      </c>
      <c r="C35" s="19">
        <v>2.0699999999999998</v>
      </c>
      <c r="D35" s="19">
        <v>1</v>
      </c>
      <c r="E35" s="19">
        <v>0</v>
      </c>
      <c r="F35" s="19">
        <v>0</v>
      </c>
      <c r="G35" s="19">
        <v>0</v>
      </c>
      <c r="H35" s="19">
        <v>0</v>
      </c>
      <c r="I35" s="19">
        <v>1</v>
      </c>
    </row>
    <row r="36" spans="1:9">
      <c r="A36" s="18">
        <v>30</v>
      </c>
      <c r="B36" s="18" t="s">
        <v>105</v>
      </c>
      <c r="C36" s="18">
        <v>3.8249999999999997</v>
      </c>
      <c r="D36" s="18">
        <v>0</v>
      </c>
      <c r="E36" s="18">
        <v>3</v>
      </c>
      <c r="F36" s="18">
        <v>0</v>
      </c>
      <c r="G36" s="18">
        <v>0</v>
      </c>
      <c r="H36" s="18">
        <v>0</v>
      </c>
      <c r="I36" s="18">
        <v>1</v>
      </c>
    </row>
    <row r="37" spans="1:9">
      <c r="A37" s="18">
        <v>31</v>
      </c>
      <c r="B37" s="18" t="s">
        <v>39</v>
      </c>
      <c r="C37" s="18">
        <v>4.1399999999999997</v>
      </c>
      <c r="D37" s="18">
        <v>2</v>
      </c>
      <c r="E37" s="18">
        <v>0</v>
      </c>
      <c r="F37" s="18">
        <v>0</v>
      </c>
      <c r="G37" s="18">
        <v>0</v>
      </c>
      <c r="H37" s="18">
        <v>0</v>
      </c>
      <c r="I37" s="18">
        <v>1</v>
      </c>
    </row>
    <row r="38" spans="1:9">
      <c r="A38" s="18">
        <v>32</v>
      </c>
      <c r="B38" s="18" t="s">
        <v>75</v>
      </c>
      <c r="C38" s="18">
        <v>1.2749999999999999</v>
      </c>
      <c r="D38" s="18">
        <v>0</v>
      </c>
      <c r="E38" s="18">
        <v>1</v>
      </c>
      <c r="F38" s="18">
        <v>0</v>
      </c>
      <c r="G38" s="18">
        <v>0</v>
      </c>
      <c r="H38" s="18">
        <v>0</v>
      </c>
      <c r="I38" s="18">
        <v>1</v>
      </c>
    </row>
    <row r="39" spans="1:9">
      <c r="A39" s="18">
        <v>33</v>
      </c>
      <c r="B39" s="18" t="s">
        <v>59</v>
      </c>
      <c r="C39" s="18">
        <v>4.1399999999999997</v>
      </c>
      <c r="D39" s="18">
        <v>2</v>
      </c>
      <c r="E39" s="18">
        <v>0</v>
      </c>
      <c r="F39" s="18">
        <v>0</v>
      </c>
      <c r="G39" s="18">
        <v>0</v>
      </c>
      <c r="H39" s="18">
        <v>0</v>
      </c>
      <c r="I39" s="18">
        <v>1</v>
      </c>
    </row>
    <row r="40" spans="1:9">
      <c r="A40" s="18">
        <v>34</v>
      </c>
      <c r="B40" s="18" t="s">
        <v>103</v>
      </c>
      <c r="C40" s="18">
        <v>1.2749999999999999</v>
      </c>
      <c r="D40" s="18">
        <v>0</v>
      </c>
      <c r="E40" s="18">
        <v>1</v>
      </c>
      <c r="F40" s="18">
        <v>0</v>
      </c>
      <c r="G40" s="18">
        <v>0</v>
      </c>
      <c r="H40" s="18">
        <v>0</v>
      </c>
      <c r="I40" s="18">
        <v>1</v>
      </c>
    </row>
    <row r="41" spans="1:9">
      <c r="A41" s="18">
        <v>35</v>
      </c>
      <c r="B41" s="18" t="s">
        <v>53</v>
      </c>
      <c r="C41" s="18">
        <v>2.5499999999999998</v>
      </c>
      <c r="D41" s="18">
        <v>2</v>
      </c>
      <c r="E41" s="18">
        <v>0</v>
      </c>
      <c r="F41" s="18">
        <v>0</v>
      </c>
      <c r="G41" s="18">
        <v>0</v>
      </c>
      <c r="H41" s="18">
        <v>0</v>
      </c>
      <c r="I41" s="18">
        <v>1</v>
      </c>
    </row>
    <row r="42" spans="1:9">
      <c r="A42" s="18">
        <v>36</v>
      </c>
      <c r="B42" s="18" t="s">
        <v>48</v>
      </c>
      <c r="C42" s="18">
        <v>1.2749999999999999</v>
      </c>
      <c r="D42" s="18">
        <v>0</v>
      </c>
      <c r="E42" s="18">
        <v>1</v>
      </c>
      <c r="F42" s="18">
        <v>0</v>
      </c>
      <c r="G42" s="18">
        <v>0</v>
      </c>
      <c r="H42" s="18">
        <v>0</v>
      </c>
      <c r="I42" s="18">
        <v>1</v>
      </c>
    </row>
    <row r="43" spans="1:9">
      <c r="A43" s="18">
        <v>37</v>
      </c>
      <c r="B43" s="18" t="s">
        <v>97</v>
      </c>
      <c r="C43" s="18">
        <v>1.2749999999999999</v>
      </c>
      <c r="D43" s="18">
        <v>0</v>
      </c>
      <c r="E43" s="18">
        <v>1</v>
      </c>
      <c r="F43" s="18">
        <v>0</v>
      </c>
      <c r="G43" s="18">
        <v>0</v>
      </c>
      <c r="H43" s="18">
        <v>0</v>
      </c>
      <c r="I43" s="18">
        <v>1</v>
      </c>
    </row>
    <row r="44" spans="1:9">
      <c r="A44" s="18">
        <v>38</v>
      </c>
      <c r="B44" s="18" t="s">
        <v>84</v>
      </c>
      <c r="C44" s="18">
        <v>1.2749999999999999</v>
      </c>
      <c r="D44" s="18">
        <v>0</v>
      </c>
      <c r="E44" s="18">
        <v>1</v>
      </c>
      <c r="F44" s="18">
        <v>0</v>
      </c>
      <c r="G44" s="18">
        <v>0</v>
      </c>
      <c r="H44" s="18">
        <v>0</v>
      </c>
      <c r="I44" s="18">
        <v>1</v>
      </c>
    </row>
    <row r="45" spans="1:9">
      <c r="A45" s="18">
        <v>39</v>
      </c>
      <c r="B45" s="18" t="s">
        <v>118</v>
      </c>
      <c r="C45" s="18">
        <v>2.5499999999999998</v>
      </c>
      <c r="D45" s="18">
        <v>0</v>
      </c>
      <c r="E45" s="18">
        <v>2</v>
      </c>
      <c r="F45" s="18">
        <v>0</v>
      </c>
      <c r="G45" s="18">
        <v>0</v>
      </c>
      <c r="H45" s="18">
        <v>0</v>
      </c>
      <c r="I45" s="18">
        <v>1</v>
      </c>
    </row>
    <row r="46" spans="1:9">
      <c r="A46" s="18">
        <v>40</v>
      </c>
      <c r="B46" s="18" t="s">
        <v>80</v>
      </c>
      <c r="C46" s="18">
        <v>2.0699999999999998</v>
      </c>
      <c r="D46" s="18">
        <v>1</v>
      </c>
      <c r="E46" s="18">
        <v>0</v>
      </c>
      <c r="F46" s="18">
        <v>0</v>
      </c>
      <c r="G46" s="18">
        <v>0</v>
      </c>
      <c r="H46" s="18">
        <v>0</v>
      </c>
      <c r="I46" s="18">
        <v>1</v>
      </c>
    </row>
    <row r="47" spans="1:9">
      <c r="A47" s="18">
        <v>41</v>
      </c>
      <c r="B47" s="18" t="s">
        <v>56</v>
      </c>
      <c r="C47" s="18">
        <v>2.5499999999999998</v>
      </c>
      <c r="D47" s="18">
        <v>0</v>
      </c>
      <c r="E47" s="18">
        <v>2</v>
      </c>
      <c r="F47" s="18">
        <v>0</v>
      </c>
      <c r="G47" s="18">
        <v>0</v>
      </c>
      <c r="H47" s="18">
        <v>0</v>
      </c>
      <c r="I47" s="18">
        <v>1</v>
      </c>
    </row>
    <row r="48" spans="1:9">
      <c r="A48" s="18">
        <v>42</v>
      </c>
      <c r="B48" s="18" t="s">
        <v>115</v>
      </c>
      <c r="C48" s="18">
        <v>1.2749999999999999</v>
      </c>
      <c r="D48" s="18">
        <v>0</v>
      </c>
      <c r="E48" s="18">
        <v>1</v>
      </c>
      <c r="F48" s="18">
        <v>0</v>
      </c>
      <c r="G48" s="18">
        <v>0</v>
      </c>
      <c r="H48" s="18">
        <v>0</v>
      </c>
      <c r="I48" s="18">
        <v>1</v>
      </c>
    </row>
    <row r="49" spans="1:9">
      <c r="A49" s="18">
        <v>43</v>
      </c>
      <c r="B49" s="18" t="s">
        <v>101</v>
      </c>
      <c r="C49" s="18">
        <v>2.0699999999999998</v>
      </c>
      <c r="D49" s="18">
        <v>1</v>
      </c>
      <c r="E49" s="18">
        <v>0</v>
      </c>
      <c r="F49" s="18">
        <v>0</v>
      </c>
      <c r="G49" s="18">
        <v>0</v>
      </c>
      <c r="H49" s="18">
        <v>0</v>
      </c>
      <c r="I49" s="18">
        <v>1</v>
      </c>
    </row>
    <row r="50" spans="1:9">
      <c r="A50" s="18">
        <v>44</v>
      </c>
      <c r="B50" s="18" t="s">
        <v>127</v>
      </c>
      <c r="C50" s="18">
        <v>2.0699999999999998</v>
      </c>
      <c r="D50" s="18">
        <v>1</v>
      </c>
      <c r="E50" s="18">
        <v>0</v>
      </c>
      <c r="F50" s="18">
        <v>0</v>
      </c>
      <c r="G50" s="18">
        <v>0</v>
      </c>
      <c r="H50" s="18">
        <v>0</v>
      </c>
      <c r="I50" s="18">
        <v>1</v>
      </c>
    </row>
    <row r="51" spans="1:9">
      <c r="A51" s="18">
        <v>45</v>
      </c>
      <c r="B51" s="18" t="s">
        <v>85</v>
      </c>
      <c r="C51" s="18">
        <v>2.0699999999999998</v>
      </c>
      <c r="D51" s="18">
        <v>1</v>
      </c>
      <c r="E51" s="18">
        <v>0</v>
      </c>
      <c r="F51" s="18">
        <v>0</v>
      </c>
      <c r="G51" s="18">
        <v>0</v>
      </c>
      <c r="H51" s="18">
        <v>0</v>
      </c>
      <c r="I51" s="18">
        <v>1</v>
      </c>
    </row>
    <row r="52" spans="1:9">
      <c r="A52" s="18">
        <v>46</v>
      </c>
      <c r="B52" s="18" t="s">
        <v>126</v>
      </c>
      <c r="C52" s="18">
        <v>2.0699999999999998</v>
      </c>
      <c r="D52" s="18">
        <v>1</v>
      </c>
      <c r="E52" s="18">
        <v>0</v>
      </c>
      <c r="F52" s="18">
        <v>0</v>
      </c>
      <c r="G52" s="18">
        <v>0</v>
      </c>
      <c r="H52" s="18">
        <v>0</v>
      </c>
      <c r="I52" s="18">
        <v>1</v>
      </c>
    </row>
    <row r="53" spans="1:9">
      <c r="A53" s="18">
        <v>47</v>
      </c>
      <c r="B53" s="18" t="s">
        <v>119</v>
      </c>
      <c r="C53" s="18">
        <v>4.1399999999999997</v>
      </c>
      <c r="D53" s="18">
        <v>2</v>
      </c>
      <c r="E53" s="18">
        <v>0</v>
      </c>
      <c r="F53" s="18">
        <v>0</v>
      </c>
      <c r="G53" s="18">
        <v>0</v>
      </c>
      <c r="H53" s="18">
        <v>0</v>
      </c>
      <c r="I53" s="18">
        <v>1</v>
      </c>
    </row>
    <row r="54" spans="1:9">
      <c r="A54" s="18">
        <v>48</v>
      </c>
      <c r="B54" s="18" t="s">
        <v>112</v>
      </c>
      <c r="C54" s="18">
        <v>3.8249999999999997</v>
      </c>
      <c r="D54" s="18">
        <v>0</v>
      </c>
      <c r="E54" s="18">
        <v>3</v>
      </c>
      <c r="F54" s="18">
        <v>0</v>
      </c>
      <c r="G54" s="18">
        <v>0</v>
      </c>
      <c r="H54" s="18">
        <v>0</v>
      </c>
      <c r="I54" s="18">
        <v>1</v>
      </c>
    </row>
    <row r="55" spans="1:9" s="17" customFormat="1">
      <c r="A55" s="19">
        <v>49</v>
      </c>
      <c r="B55" s="19" t="s">
        <v>71</v>
      </c>
      <c r="C55" s="19">
        <v>1.2749999999999999</v>
      </c>
      <c r="D55" s="19">
        <v>0</v>
      </c>
      <c r="E55" s="19">
        <v>1</v>
      </c>
      <c r="F55" s="19">
        <v>0</v>
      </c>
      <c r="G55" s="19">
        <v>0</v>
      </c>
      <c r="H55" s="19">
        <v>0</v>
      </c>
      <c r="I55" s="19">
        <v>1</v>
      </c>
    </row>
    <row r="56" spans="1:9">
      <c r="A56" s="18">
        <v>50</v>
      </c>
      <c r="B56" s="18" t="s">
        <v>0</v>
      </c>
      <c r="C56" s="18">
        <v>2.0699999999999998</v>
      </c>
      <c r="D56" s="18">
        <v>1</v>
      </c>
      <c r="E56" s="18">
        <v>0</v>
      </c>
      <c r="F56" s="18">
        <v>0</v>
      </c>
      <c r="G56" s="18">
        <v>0</v>
      </c>
      <c r="H56" s="18">
        <v>0</v>
      </c>
      <c r="I56" s="18">
        <v>1</v>
      </c>
    </row>
    <row r="57" spans="1:9">
      <c r="A57" s="18"/>
      <c r="B57" s="18"/>
      <c r="C57" s="18"/>
      <c r="D57" s="18"/>
      <c r="E57" s="18"/>
      <c r="F57" s="18"/>
      <c r="G57" s="18"/>
      <c r="H57" s="18"/>
      <c r="I57" s="18"/>
    </row>
    <row r="58" spans="1:9">
      <c r="A58" s="18"/>
      <c r="B58" s="18"/>
      <c r="C58" s="18"/>
      <c r="D58" s="18"/>
      <c r="E58" s="18"/>
      <c r="F58" s="18"/>
      <c r="G58" s="18"/>
      <c r="H58" s="18"/>
      <c r="I58" s="18"/>
    </row>
    <row r="59" spans="1:9" s="17" customFormat="1">
      <c r="A59" s="19"/>
      <c r="B59" s="19"/>
      <c r="C59" s="19"/>
      <c r="D59" s="19"/>
      <c r="E59" s="19"/>
      <c r="F59" s="19"/>
      <c r="G59" s="19"/>
      <c r="H59" s="19"/>
      <c r="I59" s="19"/>
    </row>
    <row r="60" spans="1:9" s="17" customFormat="1">
      <c r="A60" s="19"/>
      <c r="B60" s="19"/>
      <c r="C60" s="19"/>
      <c r="D60" s="19"/>
      <c r="E60" s="19"/>
      <c r="F60" s="19"/>
      <c r="G60" s="19"/>
      <c r="H60" s="19"/>
      <c r="I60" s="19"/>
    </row>
    <row r="61" spans="1:9">
      <c r="A61" s="18"/>
      <c r="B61" s="18"/>
      <c r="C61" s="18">
        <f>SUM(C32:C60)</f>
        <v>59.579999999999991</v>
      </c>
      <c r="D61" s="18">
        <v>180</v>
      </c>
      <c r="E61" s="18">
        <v>150</v>
      </c>
      <c r="F61" s="18" t="s">
        <v>143</v>
      </c>
      <c r="G61" s="18">
        <v>400</v>
      </c>
      <c r="H61" s="18">
        <v>250</v>
      </c>
      <c r="I61" s="18" t="s">
        <v>145</v>
      </c>
    </row>
    <row r="63" spans="1:9">
      <c r="C63">
        <f>C61+C30</f>
        <v>137.96199999999996</v>
      </c>
    </row>
    <row r="64" spans="1:9" s="17" customFormat="1">
      <c r="B64" s="19" t="s">
        <v>152</v>
      </c>
      <c r="C64" s="19">
        <v>1.2749999999999999</v>
      </c>
    </row>
    <row r="65" spans="2:3">
      <c r="B65" s="18" t="s">
        <v>153</v>
      </c>
      <c r="C65" s="18">
        <v>1.2749999999999999</v>
      </c>
    </row>
    <row r="66" spans="2:3">
      <c r="B66" s="18" t="s">
        <v>154</v>
      </c>
      <c r="C66" s="18">
        <v>6</v>
      </c>
    </row>
    <row r="67" spans="2:3" s="17" customFormat="1">
      <c r="B67" s="19" t="s">
        <v>155</v>
      </c>
      <c r="C67" s="19">
        <v>1.2749999999999999</v>
      </c>
    </row>
    <row r="68" spans="2:3">
      <c r="B68" s="18"/>
      <c r="C68" s="18">
        <f>SUM(C64:C67)</f>
        <v>9.8250000000000011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57" zoomScale="112" zoomScaleNormal="112" workbookViewId="0">
      <selection activeCell="B60" sqref="B60"/>
    </sheetView>
  </sheetViews>
  <sheetFormatPr defaultColWidth="11.5703125" defaultRowHeight="15"/>
  <cols>
    <col min="1" max="1" width="5.140625" customWidth="1"/>
    <col min="2" max="2" width="43.5703125" customWidth="1"/>
    <col min="3" max="3" width="7.7109375" customWidth="1"/>
    <col min="4" max="9" width="3" customWidth="1"/>
  </cols>
  <sheetData>
    <row r="1" spans="1:9" s="21" customFormat="1">
      <c r="A1" s="20">
        <v>1</v>
      </c>
      <c r="B1" s="20" t="s">
        <v>29</v>
      </c>
      <c r="C1" s="20">
        <v>3.8249999999999997</v>
      </c>
      <c r="D1" s="20">
        <v>0</v>
      </c>
      <c r="E1" s="20">
        <v>0</v>
      </c>
      <c r="F1" s="20">
        <v>0</v>
      </c>
      <c r="G1" s="20">
        <v>0</v>
      </c>
      <c r="H1" s="20">
        <v>0</v>
      </c>
      <c r="I1" s="20">
        <v>1</v>
      </c>
    </row>
    <row r="2" spans="1:9" s="21" customFormat="1">
      <c r="A2" s="20">
        <v>1</v>
      </c>
      <c r="B2" s="20" t="s">
        <v>30</v>
      </c>
      <c r="C2" s="20">
        <v>4.1399999999999997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1</v>
      </c>
    </row>
    <row r="3" spans="1:9" s="21" customFormat="1">
      <c r="A3" s="20">
        <v>1</v>
      </c>
      <c r="B3" s="20" t="s">
        <v>10</v>
      </c>
      <c r="C3" s="20">
        <v>1.2749999999999999</v>
      </c>
      <c r="D3" s="20">
        <v>2</v>
      </c>
      <c r="E3" s="20">
        <v>5</v>
      </c>
      <c r="F3" s="20">
        <v>0</v>
      </c>
      <c r="G3" s="20">
        <v>0</v>
      </c>
      <c r="H3" s="20">
        <v>0</v>
      </c>
      <c r="I3" s="20">
        <v>1</v>
      </c>
    </row>
    <row r="4" spans="1:9" s="21" customFormat="1">
      <c r="A4" s="20">
        <v>2</v>
      </c>
      <c r="B4" s="20" t="s">
        <v>14</v>
      </c>
      <c r="C4" s="20">
        <v>4.6199999999999992</v>
      </c>
      <c r="D4" s="20">
        <v>1</v>
      </c>
      <c r="E4" s="20">
        <v>0</v>
      </c>
      <c r="F4" s="20">
        <v>0</v>
      </c>
      <c r="G4" s="20">
        <v>0</v>
      </c>
      <c r="H4" s="20">
        <v>0</v>
      </c>
      <c r="I4" s="20">
        <v>1</v>
      </c>
    </row>
    <row r="5" spans="1:9" s="21" customFormat="1">
      <c r="A5" s="20">
        <v>3</v>
      </c>
      <c r="B5" s="20" t="s">
        <v>27</v>
      </c>
      <c r="C5" s="20">
        <v>3.3449999999999998</v>
      </c>
      <c r="D5" s="20">
        <v>1</v>
      </c>
      <c r="E5" s="20">
        <v>0</v>
      </c>
      <c r="F5" s="20">
        <v>1</v>
      </c>
      <c r="G5" s="20">
        <v>0</v>
      </c>
      <c r="H5" s="20">
        <v>0</v>
      </c>
      <c r="I5" s="20">
        <v>1</v>
      </c>
    </row>
    <row r="6" spans="1:9" s="21" customFormat="1">
      <c r="A6" s="20">
        <v>4</v>
      </c>
      <c r="B6" s="20" t="s">
        <v>3</v>
      </c>
      <c r="C6" s="20">
        <v>6.6899999999999995</v>
      </c>
      <c r="D6" s="20">
        <v>2</v>
      </c>
      <c r="E6" s="20">
        <v>2</v>
      </c>
      <c r="F6" s="20">
        <v>0</v>
      </c>
      <c r="G6" s="20">
        <v>0</v>
      </c>
      <c r="H6" s="20">
        <v>0</v>
      </c>
      <c r="I6" s="20">
        <v>1</v>
      </c>
    </row>
    <row r="7" spans="1:9" s="21" customFormat="1">
      <c r="A7" s="20">
        <v>4.5</v>
      </c>
      <c r="B7" s="20" t="s">
        <v>160</v>
      </c>
      <c r="C7" s="20">
        <v>6.2099999999999991</v>
      </c>
      <c r="D7" s="20">
        <v>3</v>
      </c>
      <c r="E7" s="20">
        <v>0</v>
      </c>
      <c r="F7" s="20">
        <v>0</v>
      </c>
      <c r="G7" s="20">
        <v>0</v>
      </c>
      <c r="H7" s="20">
        <v>0</v>
      </c>
      <c r="I7" s="20">
        <v>1</v>
      </c>
    </row>
    <row r="8" spans="1:9" s="21" customFormat="1">
      <c r="A8" s="20">
        <v>5</v>
      </c>
      <c r="B8" s="20" t="s">
        <v>1</v>
      </c>
      <c r="C8" s="20">
        <v>2.0699999999999998</v>
      </c>
      <c r="D8" s="20">
        <v>1</v>
      </c>
      <c r="E8" s="20">
        <v>0</v>
      </c>
      <c r="F8" s="20">
        <v>0</v>
      </c>
      <c r="G8" s="20">
        <v>0</v>
      </c>
      <c r="H8" s="20">
        <v>0</v>
      </c>
      <c r="I8" s="20">
        <v>1</v>
      </c>
    </row>
    <row r="9" spans="1:9" s="21" customFormat="1">
      <c r="A9" s="20">
        <v>6</v>
      </c>
      <c r="B9" s="20" t="s">
        <v>8</v>
      </c>
      <c r="C9" s="20">
        <v>2.5499999999999998</v>
      </c>
      <c r="D9" s="20">
        <v>0</v>
      </c>
      <c r="E9" s="20">
        <v>2</v>
      </c>
      <c r="F9" s="20">
        <v>0</v>
      </c>
      <c r="G9" s="20">
        <v>0</v>
      </c>
      <c r="H9" s="20">
        <v>0</v>
      </c>
      <c r="I9" s="20">
        <v>1</v>
      </c>
    </row>
    <row r="10" spans="1:9" s="21" customFormat="1">
      <c r="A10" s="20"/>
      <c r="B10" s="4" t="s">
        <v>78</v>
      </c>
      <c r="C10" s="4">
        <v>2.5499999999999998</v>
      </c>
      <c r="D10" s="20"/>
      <c r="E10" s="20"/>
      <c r="F10" s="20"/>
      <c r="G10" s="20"/>
      <c r="H10" s="20"/>
      <c r="I10" s="20"/>
    </row>
    <row r="11" spans="1:9" s="21" customFormat="1">
      <c r="A11" s="20">
        <v>7</v>
      </c>
      <c r="B11" s="20" t="s">
        <v>7</v>
      </c>
      <c r="C11" s="20">
        <v>4.1399999999999997</v>
      </c>
      <c r="D11" s="20">
        <v>2</v>
      </c>
      <c r="E11" s="20">
        <v>0</v>
      </c>
      <c r="F11" s="20">
        <v>0</v>
      </c>
      <c r="G11" s="20">
        <v>0</v>
      </c>
      <c r="H11" s="20">
        <v>0</v>
      </c>
      <c r="I11" s="20">
        <v>1</v>
      </c>
    </row>
    <row r="12" spans="1:9" s="21" customFormat="1">
      <c r="A12" s="20">
        <v>8</v>
      </c>
      <c r="B12" s="20" t="s">
        <v>21</v>
      </c>
      <c r="C12" s="20">
        <v>2.0699999999999998</v>
      </c>
      <c r="D12" s="20">
        <v>1</v>
      </c>
      <c r="E12" s="20">
        <v>0</v>
      </c>
      <c r="F12" s="20">
        <v>0</v>
      </c>
      <c r="G12" s="20">
        <v>0</v>
      </c>
      <c r="H12" s="20">
        <v>0</v>
      </c>
      <c r="I12" s="20">
        <v>1</v>
      </c>
    </row>
    <row r="13" spans="1:9" s="21" customFormat="1">
      <c r="A13" s="20">
        <v>9</v>
      </c>
      <c r="B13" s="20" t="s">
        <v>26</v>
      </c>
      <c r="C13" s="20">
        <v>2.0699999999999998</v>
      </c>
      <c r="D13" s="20">
        <v>1</v>
      </c>
      <c r="E13" s="20">
        <v>0</v>
      </c>
      <c r="F13" s="20">
        <v>0</v>
      </c>
      <c r="G13" s="20">
        <v>0</v>
      </c>
      <c r="H13" s="20">
        <v>0</v>
      </c>
      <c r="I13" s="20">
        <v>1</v>
      </c>
    </row>
    <row r="14" spans="1:9" s="21" customFormat="1">
      <c r="A14" s="20">
        <v>10</v>
      </c>
      <c r="B14" s="20" t="s">
        <v>13</v>
      </c>
      <c r="C14" s="20">
        <v>1.2749999999999999</v>
      </c>
      <c r="D14" s="20">
        <v>0</v>
      </c>
      <c r="E14" s="20">
        <v>1</v>
      </c>
      <c r="F14" s="20">
        <v>0</v>
      </c>
      <c r="G14" s="20">
        <v>0</v>
      </c>
      <c r="H14" s="20">
        <v>0</v>
      </c>
      <c r="I14" s="20">
        <v>1</v>
      </c>
    </row>
    <row r="15" spans="1:9" s="21" customFormat="1">
      <c r="A15" s="20">
        <v>11</v>
      </c>
      <c r="B15" s="20" t="s">
        <v>139</v>
      </c>
      <c r="C15" s="20">
        <v>1.2749999999999999</v>
      </c>
      <c r="D15" s="20">
        <v>0</v>
      </c>
      <c r="E15" s="20">
        <v>1</v>
      </c>
      <c r="F15" s="20">
        <v>0</v>
      </c>
      <c r="G15" s="20">
        <v>0</v>
      </c>
      <c r="H15" s="20">
        <v>0</v>
      </c>
      <c r="I15" s="20">
        <v>1</v>
      </c>
    </row>
    <row r="16" spans="1:9" s="21" customFormat="1">
      <c r="A16" s="20">
        <v>12</v>
      </c>
      <c r="B16" s="20" t="s">
        <v>4</v>
      </c>
      <c r="C16" s="20">
        <v>4.1399999999999997</v>
      </c>
      <c r="D16" s="20">
        <v>2</v>
      </c>
      <c r="E16" s="20">
        <v>0</v>
      </c>
      <c r="F16" s="20">
        <v>0</v>
      </c>
      <c r="G16" s="20">
        <v>0</v>
      </c>
      <c r="H16" s="20">
        <v>0</v>
      </c>
      <c r="I16" s="20">
        <v>1</v>
      </c>
    </row>
    <row r="17" spans="1:10" s="21" customFormat="1">
      <c r="A17" s="20">
        <v>13</v>
      </c>
      <c r="B17" s="20" t="s">
        <v>32</v>
      </c>
      <c r="C17" s="20">
        <v>4.1399999999999997</v>
      </c>
      <c r="D17" s="20">
        <v>2</v>
      </c>
      <c r="E17" s="20">
        <v>0</v>
      </c>
      <c r="F17" s="20">
        <v>0</v>
      </c>
      <c r="G17" s="20">
        <v>0</v>
      </c>
      <c r="H17" s="20">
        <v>0</v>
      </c>
      <c r="I17" s="20">
        <v>1</v>
      </c>
    </row>
    <row r="18" spans="1:10" s="21" customFormat="1">
      <c r="A18" s="20">
        <v>14</v>
      </c>
      <c r="B18" s="20" t="s">
        <v>111</v>
      </c>
      <c r="C18" s="20">
        <v>1.2749999999999999</v>
      </c>
      <c r="D18" s="20">
        <v>0</v>
      </c>
      <c r="E18" s="20">
        <v>1</v>
      </c>
      <c r="F18" s="20">
        <v>0</v>
      </c>
      <c r="G18" s="20">
        <v>0</v>
      </c>
      <c r="H18" s="20">
        <v>0</v>
      </c>
      <c r="I18" s="20">
        <v>1</v>
      </c>
    </row>
    <row r="19" spans="1:10" s="21" customFormat="1">
      <c r="A19" s="20">
        <v>15</v>
      </c>
      <c r="B19" s="20" t="s">
        <v>20</v>
      </c>
      <c r="C19" s="20">
        <v>2.0699999999999998</v>
      </c>
      <c r="D19" s="20">
        <v>1</v>
      </c>
      <c r="E19" s="20">
        <v>0</v>
      </c>
      <c r="F19" s="20">
        <v>0</v>
      </c>
      <c r="G19" s="20">
        <v>0</v>
      </c>
      <c r="H19" s="20">
        <v>0</v>
      </c>
      <c r="I19" s="20">
        <v>1</v>
      </c>
      <c r="J19" s="21" t="s">
        <v>157</v>
      </c>
    </row>
    <row r="20" spans="1:10" s="21" customFormat="1">
      <c r="A20" s="20">
        <v>16</v>
      </c>
      <c r="B20" s="20" t="s">
        <v>9</v>
      </c>
      <c r="C20" s="20">
        <v>2.5499999999999998</v>
      </c>
      <c r="D20" s="20">
        <v>0</v>
      </c>
      <c r="E20" s="20">
        <v>2</v>
      </c>
      <c r="F20" s="20">
        <v>0</v>
      </c>
      <c r="G20" s="20">
        <v>0</v>
      </c>
      <c r="H20" s="20">
        <v>0</v>
      </c>
      <c r="I20" s="20">
        <v>1</v>
      </c>
    </row>
    <row r="21" spans="1:10" s="21" customFormat="1">
      <c r="A21" s="20">
        <v>17</v>
      </c>
      <c r="B21" s="20" t="s">
        <v>135</v>
      </c>
      <c r="C21" s="20">
        <v>1.2749999999999999</v>
      </c>
      <c r="D21" s="20">
        <v>0</v>
      </c>
      <c r="E21" s="20">
        <v>1</v>
      </c>
      <c r="F21" s="20">
        <v>0</v>
      </c>
      <c r="G21" s="20">
        <v>0</v>
      </c>
      <c r="H21" s="20">
        <v>0</v>
      </c>
      <c r="I21" s="20">
        <v>1</v>
      </c>
    </row>
    <row r="22" spans="1:10" s="21" customFormat="1">
      <c r="A22" s="20">
        <v>18</v>
      </c>
      <c r="B22" s="20" t="s">
        <v>19</v>
      </c>
      <c r="C22" s="20">
        <v>2.0699999999999998</v>
      </c>
      <c r="D22" s="20">
        <v>1</v>
      </c>
      <c r="E22" s="20">
        <v>0</v>
      </c>
      <c r="F22" s="20">
        <v>0</v>
      </c>
      <c r="G22" s="20">
        <v>0</v>
      </c>
      <c r="H22" s="20">
        <v>0</v>
      </c>
      <c r="I22" s="20">
        <v>1</v>
      </c>
    </row>
    <row r="23" spans="1:10" s="21" customFormat="1">
      <c r="A23" s="20">
        <v>19</v>
      </c>
      <c r="B23" s="20" t="s">
        <v>16</v>
      </c>
      <c r="C23" s="20">
        <v>1.2749999999999999</v>
      </c>
      <c r="D23" s="20">
        <v>0</v>
      </c>
      <c r="E23" s="20">
        <v>1</v>
      </c>
      <c r="F23" s="20">
        <v>0</v>
      </c>
      <c r="G23" s="20">
        <v>0</v>
      </c>
      <c r="H23" s="20">
        <v>0</v>
      </c>
      <c r="I23" s="20">
        <v>1</v>
      </c>
    </row>
    <row r="24" spans="1:10" s="21" customFormat="1">
      <c r="A24" s="20">
        <v>20</v>
      </c>
      <c r="B24" s="20" t="s">
        <v>17</v>
      </c>
      <c r="C24" s="20">
        <v>2.0699999999999998</v>
      </c>
      <c r="D24" s="20">
        <v>1</v>
      </c>
      <c r="E24" s="20">
        <v>0</v>
      </c>
      <c r="F24" s="20">
        <v>0</v>
      </c>
      <c r="G24" s="20">
        <v>0</v>
      </c>
      <c r="H24" s="20">
        <v>0</v>
      </c>
      <c r="I24" s="20">
        <v>1</v>
      </c>
    </row>
    <row r="25" spans="1:10" s="21" customFormat="1">
      <c r="A25" s="20">
        <v>21</v>
      </c>
      <c r="B25" s="20" t="s">
        <v>33</v>
      </c>
      <c r="C25" s="20">
        <v>1.2749999999999999</v>
      </c>
      <c r="D25" s="20">
        <v>0</v>
      </c>
      <c r="E25" s="20">
        <v>1</v>
      </c>
      <c r="F25" s="20">
        <v>0</v>
      </c>
      <c r="G25" s="20">
        <v>0</v>
      </c>
      <c r="H25" s="20">
        <v>0</v>
      </c>
      <c r="I25" s="20">
        <v>1</v>
      </c>
    </row>
    <row r="26" spans="1:10" s="21" customFormat="1">
      <c r="C26" s="21">
        <f>SUM(C1:C25)</f>
        <v>70.24499999999999</v>
      </c>
    </row>
    <row r="27" spans="1:10" s="21" customFormat="1"/>
    <row r="28" spans="1:10" s="21" customFormat="1">
      <c r="A28" s="20">
        <v>27.05</v>
      </c>
      <c r="B28" s="20" t="s">
        <v>18</v>
      </c>
      <c r="C28" s="20">
        <v>2.0699999999999998</v>
      </c>
      <c r="D28" s="20">
        <v>1</v>
      </c>
      <c r="E28" s="20">
        <v>0</v>
      </c>
      <c r="F28" s="20">
        <v>0</v>
      </c>
      <c r="G28" s="20">
        <v>0</v>
      </c>
      <c r="H28" s="20">
        <v>0</v>
      </c>
      <c r="I28" s="20">
        <v>1</v>
      </c>
    </row>
    <row r="29" spans="1:10">
      <c r="A29" s="18">
        <v>27.1</v>
      </c>
      <c r="B29" s="18" t="s">
        <v>11</v>
      </c>
      <c r="C29" s="18">
        <v>2.5499999999999998</v>
      </c>
      <c r="D29" s="18">
        <v>0</v>
      </c>
      <c r="E29" s="18">
        <v>2</v>
      </c>
      <c r="F29" s="18">
        <v>0</v>
      </c>
      <c r="G29" s="18">
        <v>0</v>
      </c>
      <c r="H29" s="18">
        <v>0</v>
      </c>
      <c r="I29" s="18">
        <v>1</v>
      </c>
    </row>
    <row r="30" spans="1:10">
      <c r="A30" s="18">
        <v>27.2</v>
      </c>
      <c r="B30" s="18" t="s">
        <v>90</v>
      </c>
      <c r="C30" s="18">
        <v>1.2749999999999999</v>
      </c>
      <c r="D30" s="18">
        <v>0</v>
      </c>
      <c r="E30" s="18">
        <v>1</v>
      </c>
      <c r="F30" s="18">
        <v>0</v>
      </c>
      <c r="G30" s="18">
        <v>0</v>
      </c>
      <c r="H30" s="18">
        <v>0</v>
      </c>
      <c r="I30" s="18">
        <v>1</v>
      </c>
    </row>
    <row r="31" spans="1:10">
      <c r="A31" s="18">
        <v>27.3</v>
      </c>
      <c r="B31" s="18" t="s">
        <v>120</v>
      </c>
      <c r="C31" s="18">
        <v>1.2749999999999999</v>
      </c>
      <c r="D31" s="18">
        <v>0</v>
      </c>
      <c r="E31" s="18">
        <v>1</v>
      </c>
      <c r="F31" s="18">
        <v>0</v>
      </c>
      <c r="G31" s="18">
        <v>0</v>
      </c>
      <c r="H31" s="18">
        <v>0</v>
      </c>
      <c r="I31" s="18">
        <v>1</v>
      </c>
    </row>
    <row r="32" spans="1:10">
      <c r="A32" s="18">
        <v>27.4</v>
      </c>
      <c r="B32" s="18" t="s">
        <v>23</v>
      </c>
      <c r="C32" s="18">
        <v>1.2749999999999999</v>
      </c>
      <c r="D32" s="18">
        <v>0</v>
      </c>
      <c r="E32" s="18">
        <v>1</v>
      </c>
      <c r="F32" s="18">
        <v>0</v>
      </c>
      <c r="G32" s="18">
        <v>0</v>
      </c>
      <c r="H32" s="18">
        <v>0</v>
      </c>
      <c r="I32" s="18">
        <v>1</v>
      </c>
    </row>
    <row r="33" spans="1:9">
      <c r="A33" s="18">
        <v>27.44</v>
      </c>
      <c r="B33" s="18" t="s">
        <v>24</v>
      </c>
      <c r="C33" s="18">
        <v>2.0699999999999998</v>
      </c>
      <c r="D33" s="18">
        <v>1</v>
      </c>
      <c r="E33" s="18">
        <v>0</v>
      </c>
      <c r="F33" s="18">
        <v>0</v>
      </c>
      <c r="G33" s="18">
        <v>0</v>
      </c>
      <c r="H33" s="18">
        <v>0</v>
      </c>
      <c r="I33" s="18">
        <v>1</v>
      </c>
    </row>
    <row r="34" spans="1:9">
      <c r="A34" s="18">
        <v>27.45</v>
      </c>
      <c r="B34" s="18" t="s">
        <v>133</v>
      </c>
      <c r="C34" s="18">
        <v>2.0699999999999998</v>
      </c>
      <c r="D34" s="18">
        <v>1</v>
      </c>
      <c r="E34" s="18">
        <v>0</v>
      </c>
      <c r="F34" s="18">
        <v>0</v>
      </c>
      <c r="G34" s="18">
        <v>0</v>
      </c>
      <c r="H34" s="18">
        <v>0</v>
      </c>
      <c r="I34" s="18">
        <v>1</v>
      </c>
    </row>
    <row r="35" spans="1:9">
      <c r="A35" s="18">
        <v>27.46</v>
      </c>
      <c r="B35" s="18" t="s">
        <v>83</v>
      </c>
      <c r="C35" s="18">
        <v>4.1399999999999997</v>
      </c>
      <c r="D35" s="18">
        <v>2</v>
      </c>
      <c r="E35" s="18">
        <v>0</v>
      </c>
      <c r="F35" s="18">
        <v>0</v>
      </c>
      <c r="G35" s="18">
        <v>0</v>
      </c>
      <c r="H35" s="18">
        <v>0</v>
      </c>
      <c r="I35" s="18">
        <v>1</v>
      </c>
    </row>
    <row r="36" spans="1:9">
      <c r="A36" s="18">
        <v>27.47</v>
      </c>
      <c r="B36" s="18" t="s">
        <v>2</v>
      </c>
      <c r="C36" s="18">
        <v>1.2749999999999999</v>
      </c>
      <c r="D36" s="18">
        <v>0</v>
      </c>
      <c r="E36" s="18">
        <v>1</v>
      </c>
      <c r="F36" s="18">
        <v>0</v>
      </c>
      <c r="G36" s="18">
        <v>0</v>
      </c>
      <c r="H36" s="18">
        <v>0</v>
      </c>
      <c r="I36" s="18">
        <v>1</v>
      </c>
    </row>
    <row r="37" spans="1:9">
      <c r="A37" s="18">
        <v>27.48</v>
      </c>
      <c r="B37" s="18" t="s">
        <v>28</v>
      </c>
      <c r="C37" s="18">
        <v>3.3449999999999998</v>
      </c>
      <c r="D37" s="18">
        <v>1</v>
      </c>
      <c r="E37" s="18">
        <v>1</v>
      </c>
      <c r="F37" s="18">
        <v>0</v>
      </c>
      <c r="G37" s="18">
        <v>0</v>
      </c>
      <c r="H37" s="18">
        <v>0</v>
      </c>
      <c r="I37" s="18">
        <v>1</v>
      </c>
    </row>
    <row r="38" spans="1:9">
      <c r="A38" s="18">
        <v>27.49</v>
      </c>
      <c r="B38" s="18" t="s">
        <v>6</v>
      </c>
      <c r="C38" s="18">
        <v>3.3449999999999998</v>
      </c>
      <c r="D38" s="18">
        <v>1</v>
      </c>
      <c r="E38" s="18">
        <v>1</v>
      </c>
      <c r="F38" s="18">
        <v>0</v>
      </c>
      <c r="G38" s="18">
        <v>0</v>
      </c>
      <c r="H38" s="18">
        <v>0</v>
      </c>
      <c r="I38" s="18">
        <v>1</v>
      </c>
    </row>
    <row r="39" spans="1:9">
      <c r="A39" s="18">
        <v>27.491</v>
      </c>
      <c r="B39" s="18" t="s">
        <v>142</v>
      </c>
      <c r="C39" s="18">
        <v>1.2749999999999999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1</v>
      </c>
    </row>
    <row r="40" spans="1:9">
      <c r="A40" s="18">
        <v>27.492000000000001</v>
      </c>
      <c r="B40" s="18" t="s">
        <v>31</v>
      </c>
      <c r="C40" s="18">
        <v>1.2749999999999999</v>
      </c>
      <c r="D40" s="18">
        <v>0</v>
      </c>
      <c r="E40" s="18">
        <v>1</v>
      </c>
      <c r="F40" s="18">
        <v>0</v>
      </c>
      <c r="G40" s="18">
        <v>0</v>
      </c>
      <c r="H40" s="18">
        <v>0</v>
      </c>
      <c r="I40" s="18">
        <v>1</v>
      </c>
    </row>
    <row r="41" spans="1:9" s="21" customFormat="1">
      <c r="A41" s="20">
        <v>28</v>
      </c>
      <c r="B41" s="20" t="s">
        <v>5</v>
      </c>
      <c r="C41" s="20">
        <v>2.0699999999999998</v>
      </c>
      <c r="D41" s="20">
        <v>1</v>
      </c>
      <c r="E41" s="20">
        <v>0</v>
      </c>
      <c r="F41" s="20">
        <v>0</v>
      </c>
      <c r="G41" s="20">
        <v>0</v>
      </c>
      <c r="H41" s="20">
        <v>0</v>
      </c>
      <c r="I41" s="20">
        <v>1</v>
      </c>
    </row>
    <row r="42" spans="1:9" s="21" customFormat="1">
      <c r="A42" s="20">
        <v>29</v>
      </c>
      <c r="B42" s="20" t="s">
        <v>124</v>
      </c>
      <c r="C42" s="20">
        <v>1.2749999999999999</v>
      </c>
      <c r="D42" s="20">
        <v>0</v>
      </c>
      <c r="E42" s="20">
        <v>1</v>
      </c>
      <c r="F42" s="20">
        <v>0</v>
      </c>
      <c r="G42" s="20">
        <v>0</v>
      </c>
      <c r="H42" s="20">
        <v>0</v>
      </c>
      <c r="I42" s="20">
        <v>1</v>
      </c>
    </row>
    <row r="43" spans="1:9" s="21" customFormat="1">
      <c r="A43" s="20">
        <v>30</v>
      </c>
      <c r="B43" s="20" t="s">
        <v>22</v>
      </c>
      <c r="C43" s="20">
        <v>2.0699999999999998</v>
      </c>
      <c r="D43" s="20">
        <v>1</v>
      </c>
      <c r="E43" s="20">
        <v>0</v>
      </c>
      <c r="F43" s="20">
        <v>0</v>
      </c>
      <c r="G43" s="20">
        <v>0</v>
      </c>
      <c r="H43" s="20">
        <v>0</v>
      </c>
      <c r="I43" s="20">
        <v>1</v>
      </c>
    </row>
    <row r="44" spans="1:9" s="22" customFormat="1">
      <c r="A44" s="20">
        <v>31</v>
      </c>
      <c r="B44" s="20" t="s">
        <v>34</v>
      </c>
      <c r="C44" s="20">
        <v>1.2749999999999999</v>
      </c>
      <c r="D44" s="20">
        <v>0</v>
      </c>
      <c r="E44" s="20">
        <v>1</v>
      </c>
      <c r="F44" s="20">
        <v>0</v>
      </c>
      <c r="G44" s="20">
        <v>0</v>
      </c>
      <c r="H44" s="20">
        <v>0</v>
      </c>
      <c r="I44" s="20">
        <v>1</v>
      </c>
    </row>
    <row r="45" spans="1:9" s="21" customFormat="1">
      <c r="A45" s="20">
        <v>32</v>
      </c>
      <c r="B45" s="20" t="s">
        <v>106</v>
      </c>
      <c r="C45" s="20">
        <v>1.2749999999999999</v>
      </c>
      <c r="D45" s="20">
        <v>0</v>
      </c>
      <c r="E45" s="20">
        <v>1</v>
      </c>
      <c r="F45" s="20">
        <v>0</v>
      </c>
      <c r="G45" s="20">
        <v>0</v>
      </c>
      <c r="H45" s="20">
        <v>0</v>
      </c>
      <c r="I45" s="20">
        <v>1</v>
      </c>
    </row>
    <row r="46" spans="1:9" s="22" customFormat="1">
      <c r="A46" s="20">
        <v>33</v>
      </c>
      <c r="B46" s="20" t="s">
        <v>129</v>
      </c>
      <c r="C46" s="20">
        <v>1.2749999999999999</v>
      </c>
      <c r="D46" s="20">
        <v>0</v>
      </c>
      <c r="E46" s="20">
        <v>1</v>
      </c>
      <c r="F46" s="20">
        <v>0</v>
      </c>
      <c r="G46" s="20">
        <v>0</v>
      </c>
      <c r="H46" s="20">
        <v>0</v>
      </c>
      <c r="I46" s="20">
        <v>1</v>
      </c>
    </row>
    <row r="47" spans="1:9" s="21" customFormat="1">
      <c r="A47" s="20">
        <v>34</v>
      </c>
      <c r="B47" s="20" t="s">
        <v>96</v>
      </c>
      <c r="C47" s="20">
        <v>2.0699999999999998</v>
      </c>
      <c r="D47" s="20">
        <v>1</v>
      </c>
      <c r="E47" s="20">
        <v>0</v>
      </c>
      <c r="F47" s="20">
        <v>0</v>
      </c>
      <c r="G47" s="20">
        <v>0</v>
      </c>
      <c r="H47" s="20">
        <v>0</v>
      </c>
      <c r="I47" s="20">
        <v>1</v>
      </c>
    </row>
    <row r="48" spans="1:9" s="21" customFormat="1">
      <c r="A48" s="20">
        <v>35</v>
      </c>
      <c r="B48" s="20" t="s">
        <v>93</v>
      </c>
      <c r="C48" s="20">
        <v>1.2749999999999999</v>
      </c>
      <c r="D48" s="20">
        <v>0</v>
      </c>
      <c r="E48" s="20">
        <v>1</v>
      </c>
      <c r="F48" s="20">
        <v>0</v>
      </c>
      <c r="G48" s="20">
        <v>0</v>
      </c>
      <c r="H48" s="20">
        <v>0</v>
      </c>
      <c r="I48" s="20">
        <v>1</v>
      </c>
    </row>
    <row r="49" spans="1:9" s="21" customFormat="1">
      <c r="A49" s="20">
        <v>36</v>
      </c>
      <c r="B49" s="20" t="s">
        <v>0</v>
      </c>
      <c r="C49" s="20">
        <v>2.0699999999999998</v>
      </c>
      <c r="D49" s="20">
        <v>1</v>
      </c>
      <c r="E49" s="20">
        <v>0</v>
      </c>
      <c r="F49" s="20">
        <v>0</v>
      </c>
      <c r="G49" s="20">
        <v>0</v>
      </c>
      <c r="H49" s="20">
        <v>0</v>
      </c>
      <c r="I49" s="20">
        <v>1</v>
      </c>
    </row>
    <row r="50" spans="1:9" s="21" customFormat="1">
      <c r="A50" s="20">
        <v>37</v>
      </c>
      <c r="B50" s="20" t="s">
        <v>25</v>
      </c>
      <c r="C50" s="20">
        <v>1.2749999999999999</v>
      </c>
      <c r="D50" s="20">
        <v>0</v>
      </c>
      <c r="E50" s="20">
        <v>1</v>
      </c>
      <c r="F50" s="20">
        <v>0</v>
      </c>
      <c r="G50" s="20">
        <v>0</v>
      </c>
      <c r="H50" s="20">
        <v>0</v>
      </c>
      <c r="I50" s="20">
        <v>1</v>
      </c>
    </row>
    <row r="51" spans="1:9" s="21" customFormat="1">
      <c r="A51" s="20">
        <v>38</v>
      </c>
      <c r="B51" s="20" t="s">
        <v>12</v>
      </c>
      <c r="C51" s="20"/>
      <c r="D51" s="20">
        <v>1</v>
      </c>
      <c r="E51" s="20">
        <v>0</v>
      </c>
      <c r="F51" s="20">
        <v>0</v>
      </c>
      <c r="G51" s="20">
        <v>0</v>
      </c>
      <c r="H51" s="20">
        <v>0</v>
      </c>
      <c r="I51" s="20">
        <v>1</v>
      </c>
    </row>
    <row r="52" spans="1:9" s="21" customFormat="1">
      <c r="A52" s="20">
        <v>39</v>
      </c>
      <c r="B52" s="20" t="s">
        <v>15</v>
      </c>
      <c r="C52" s="20"/>
      <c r="D52" s="20">
        <v>1</v>
      </c>
      <c r="E52" s="20">
        <v>0</v>
      </c>
      <c r="F52" s="20">
        <v>0</v>
      </c>
      <c r="G52" s="20">
        <v>1</v>
      </c>
      <c r="H52" s="20">
        <v>0</v>
      </c>
      <c r="I52" s="20">
        <v>1</v>
      </c>
    </row>
    <row r="53" spans="1:9" s="21" customFormat="1">
      <c r="C53" s="21">
        <f>SUM(C28:C52)</f>
        <v>43.169999999999987</v>
      </c>
    </row>
    <row r="54" spans="1:9" s="21" customFormat="1">
      <c r="A54" s="20">
        <v>40</v>
      </c>
      <c r="B54" s="20" t="s">
        <v>151</v>
      </c>
      <c r="C54" s="20">
        <f>4.6*4</f>
        <v>18.399999999999999</v>
      </c>
      <c r="D54" s="20"/>
      <c r="E54" s="20"/>
      <c r="F54" s="20"/>
      <c r="G54" s="20"/>
      <c r="H54" s="20"/>
      <c r="I54" s="20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zoomScale="96" zoomScaleNormal="96" workbookViewId="0">
      <selection sqref="A1:I25"/>
    </sheetView>
  </sheetViews>
  <sheetFormatPr defaultColWidth="11.5703125" defaultRowHeight="15"/>
  <cols>
    <col min="1" max="1" width="6.28515625" bestFit="1" customWidth="1"/>
    <col min="2" max="2" width="43.5703125" customWidth="1"/>
    <col min="4" max="9" width="3" customWidth="1"/>
  </cols>
  <sheetData>
    <row r="1" spans="1:9">
      <c r="A1" s="18">
        <v>1</v>
      </c>
      <c r="B1" s="18" t="s">
        <v>29</v>
      </c>
      <c r="C1" s="18"/>
      <c r="D1" s="18">
        <v>0</v>
      </c>
      <c r="E1" s="18">
        <v>0</v>
      </c>
      <c r="F1" s="18">
        <v>0</v>
      </c>
      <c r="G1" s="18">
        <v>0</v>
      </c>
      <c r="H1" s="18">
        <v>0</v>
      </c>
      <c r="I1" s="18">
        <v>1</v>
      </c>
    </row>
    <row r="2" spans="1:9">
      <c r="A2" s="18">
        <v>2</v>
      </c>
      <c r="B2" s="18" t="s">
        <v>91</v>
      </c>
      <c r="C2" s="18"/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1</v>
      </c>
    </row>
    <row r="3" spans="1:9" s="17" customFormat="1">
      <c r="A3" s="19">
        <v>3</v>
      </c>
      <c r="B3" s="19" t="s">
        <v>92</v>
      </c>
      <c r="C3" s="19">
        <v>6.375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1</v>
      </c>
    </row>
    <row r="4" spans="1:9">
      <c r="A4" s="18">
        <v>4</v>
      </c>
      <c r="B4" s="18" t="s">
        <v>3</v>
      </c>
      <c r="C4" s="18">
        <v>6.6899999999999995</v>
      </c>
      <c r="D4" s="18">
        <v>2</v>
      </c>
      <c r="E4" s="18">
        <v>2</v>
      </c>
      <c r="F4" s="18">
        <v>0</v>
      </c>
      <c r="G4" s="18">
        <v>0</v>
      </c>
      <c r="H4" s="18">
        <v>0</v>
      </c>
      <c r="I4" s="18">
        <v>1</v>
      </c>
    </row>
    <row r="5" spans="1:9">
      <c r="A5" s="18">
        <v>5</v>
      </c>
      <c r="B5" s="18" t="s">
        <v>159</v>
      </c>
      <c r="C5" s="18">
        <f>2.07*3+1.275</f>
        <v>7.4849999999999994</v>
      </c>
      <c r="D5" s="18"/>
      <c r="E5" s="18"/>
      <c r="F5" s="18"/>
      <c r="G5" s="18"/>
      <c r="H5" s="18"/>
      <c r="I5" s="18"/>
    </row>
    <row r="6" spans="1:9">
      <c r="A6" s="18">
        <v>7</v>
      </c>
      <c r="B6" s="18" t="s">
        <v>46</v>
      </c>
      <c r="C6" s="18">
        <v>4.1399999999999997</v>
      </c>
      <c r="D6" s="18">
        <v>2</v>
      </c>
      <c r="E6" s="18">
        <v>2</v>
      </c>
      <c r="F6" s="18">
        <v>0</v>
      </c>
      <c r="G6" s="18">
        <v>0</v>
      </c>
      <c r="H6" s="18">
        <v>0</v>
      </c>
      <c r="I6" s="18">
        <v>1</v>
      </c>
    </row>
    <row r="7" spans="1:9">
      <c r="A7" s="18">
        <v>7.5</v>
      </c>
      <c r="B7" s="18" t="s">
        <v>88</v>
      </c>
      <c r="C7" s="18">
        <v>2.5499999999999998</v>
      </c>
      <c r="D7" s="18">
        <v>0</v>
      </c>
      <c r="E7" s="18">
        <v>0</v>
      </c>
      <c r="F7" s="18">
        <v>0</v>
      </c>
      <c r="G7" s="18">
        <v>1</v>
      </c>
      <c r="H7" s="18">
        <v>0</v>
      </c>
      <c r="I7" s="18">
        <v>1</v>
      </c>
    </row>
    <row r="8" spans="1:9">
      <c r="A8" s="18">
        <v>8</v>
      </c>
      <c r="B8" s="18" t="s">
        <v>2</v>
      </c>
      <c r="C8" s="18">
        <v>1.2749999999999999</v>
      </c>
      <c r="D8" s="18">
        <v>0</v>
      </c>
      <c r="E8" s="18">
        <v>1</v>
      </c>
      <c r="F8" s="18">
        <v>0</v>
      </c>
      <c r="G8" s="18">
        <v>0</v>
      </c>
      <c r="H8" s="18">
        <v>0</v>
      </c>
      <c r="I8" s="18">
        <v>1</v>
      </c>
    </row>
    <row r="9" spans="1:9">
      <c r="A9" s="18">
        <v>9</v>
      </c>
      <c r="B9" s="18" t="s">
        <v>95</v>
      </c>
      <c r="C9" s="18">
        <v>2.0699999999999998</v>
      </c>
      <c r="D9" s="18">
        <v>1</v>
      </c>
      <c r="E9" s="18">
        <v>0</v>
      </c>
      <c r="F9" s="18">
        <v>0</v>
      </c>
      <c r="G9" s="18">
        <v>0</v>
      </c>
      <c r="H9" s="18">
        <v>0</v>
      </c>
      <c r="I9" s="18">
        <v>1</v>
      </c>
    </row>
    <row r="10" spans="1:9" s="17" customFormat="1" ht="16.5" customHeight="1">
      <c r="A10" s="19">
        <v>10</v>
      </c>
      <c r="B10" s="19" t="s">
        <v>77</v>
      </c>
      <c r="C10" s="19">
        <v>4.1399999999999997</v>
      </c>
      <c r="D10" s="19">
        <v>2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</row>
    <row r="11" spans="1:9" s="17" customFormat="1">
      <c r="A11" s="19">
        <v>11</v>
      </c>
      <c r="B11" s="19" t="s">
        <v>67</v>
      </c>
      <c r="C11" s="19">
        <v>2.0699999999999998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</row>
    <row r="12" spans="1:9" s="17" customFormat="1">
      <c r="A12" s="19">
        <v>12</v>
      </c>
      <c r="B12" s="19" t="s">
        <v>66</v>
      </c>
      <c r="C12" s="19">
        <v>2.0699999999999998</v>
      </c>
      <c r="D12" s="19">
        <v>1</v>
      </c>
      <c r="E12" s="19">
        <v>0</v>
      </c>
      <c r="F12" s="19">
        <v>0</v>
      </c>
      <c r="G12" s="19">
        <v>0</v>
      </c>
      <c r="H12" s="19">
        <v>0</v>
      </c>
      <c r="I12" s="19">
        <v>1</v>
      </c>
    </row>
    <row r="13" spans="1:9">
      <c r="A13" s="18">
        <v>13</v>
      </c>
      <c r="B13" s="18" t="s">
        <v>55</v>
      </c>
      <c r="C13" s="18">
        <v>3.8249999999999997</v>
      </c>
      <c r="D13" s="18">
        <v>0</v>
      </c>
      <c r="E13" s="18">
        <v>3</v>
      </c>
      <c r="F13" s="18">
        <v>0</v>
      </c>
      <c r="G13" s="18">
        <v>0</v>
      </c>
      <c r="H13" s="18">
        <v>0</v>
      </c>
      <c r="I13" s="18">
        <v>1</v>
      </c>
    </row>
    <row r="14" spans="1:9">
      <c r="A14" s="18">
        <v>14</v>
      </c>
      <c r="B14" s="18" t="s">
        <v>1</v>
      </c>
      <c r="C14" s="18">
        <v>2.0699999999999998</v>
      </c>
      <c r="D14" s="18">
        <v>1</v>
      </c>
      <c r="E14" s="18">
        <v>0</v>
      </c>
      <c r="F14" s="18">
        <v>0</v>
      </c>
      <c r="G14" s="18">
        <v>0</v>
      </c>
      <c r="H14" s="18">
        <v>0</v>
      </c>
      <c r="I14" s="18">
        <v>1</v>
      </c>
    </row>
    <row r="15" spans="1:9" s="17" customFormat="1">
      <c r="A15" s="19">
        <v>15</v>
      </c>
      <c r="B15" s="19" t="s">
        <v>44</v>
      </c>
      <c r="C15" s="19">
        <v>2.5499999999999998</v>
      </c>
      <c r="D15" s="19">
        <v>0</v>
      </c>
      <c r="E15" s="19">
        <v>2</v>
      </c>
      <c r="F15" s="19">
        <v>0</v>
      </c>
      <c r="G15" s="19">
        <v>0</v>
      </c>
      <c r="H15" s="19">
        <v>0</v>
      </c>
      <c r="I15" s="19">
        <v>1</v>
      </c>
    </row>
    <row r="16" spans="1:9">
      <c r="A16" s="18">
        <v>16</v>
      </c>
      <c r="B16" s="18" t="s">
        <v>8</v>
      </c>
      <c r="C16" s="18">
        <v>2.5499999999999998</v>
      </c>
      <c r="D16" s="18">
        <v>0</v>
      </c>
      <c r="E16" s="18">
        <v>2</v>
      </c>
      <c r="F16" s="18">
        <v>0</v>
      </c>
      <c r="G16" s="18">
        <v>0</v>
      </c>
      <c r="H16" s="18">
        <v>0</v>
      </c>
      <c r="I16" s="18">
        <v>1</v>
      </c>
    </row>
    <row r="17" spans="1:9">
      <c r="A17" s="18">
        <v>17</v>
      </c>
      <c r="B17" s="18" t="s">
        <v>110</v>
      </c>
      <c r="C17" s="18">
        <v>1.2749999999999999</v>
      </c>
      <c r="D17" s="18">
        <v>0</v>
      </c>
      <c r="E17" s="18">
        <v>1</v>
      </c>
      <c r="F17" s="18">
        <v>0</v>
      </c>
      <c r="G17" s="18">
        <v>0</v>
      </c>
      <c r="H17" s="18">
        <v>0</v>
      </c>
      <c r="I17" s="18">
        <v>1</v>
      </c>
    </row>
    <row r="18" spans="1:9">
      <c r="A18" s="18">
        <v>18</v>
      </c>
      <c r="B18" s="18" t="s">
        <v>137</v>
      </c>
      <c r="C18" s="18">
        <v>2.5499999999999998</v>
      </c>
      <c r="D18" s="18">
        <v>0</v>
      </c>
      <c r="E18" s="18">
        <v>0</v>
      </c>
      <c r="F18" s="18">
        <v>2</v>
      </c>
      <c r="G18" s="18">
        <v>0</v>
      </c>
      <c r="H18" s="18">
        <v>0</v>
      </c>
      <c r="I18" s="18">
        <v>1</v>
      </c>
    </row>
    <row r="19" spans="1:9">
      <c r="A19" s="18">
        <v>19</v>
      </c>
      <c r="B19" s="18" t="s">
        <v>78</v>
      </c>
      <c r="C19" s="18"/>
      <c r="D19" s="18">
        <v>0</v>
      </c>
      <c r="E19" s="18">
        <v>1</v>
      </c>
      <c r="F19" s="18">
        <v>1</v>
      </c>
      <c r="G19" s="18">
        <v>0</v>
      </c>
      <c r="H19" s="18">
        <v>0</v>
      </c>
      <c r="I19" s="18">
        <v>1</v>
      </c>
    </row>
    <row r="20" spans="1:9">
      <c r="A20" s="18">
        <v>20</v>
      </c>
      <c r="B20" s="18" t="s">
        <v>7</v>
      </c>
      <c r="C20" s="18">
        <v>4.1399999999999997</v>
      </c>
      <c r="D20" s="18">
        <v>2</v>
      </c>
      <c r="E20" s="18">
        <v>0</v>
      </c>
      <c r="F20" s="18">
        <v>0</v>
      </c>
      <c r="G20" s="18">
        <v>0</v>
      </c>
      <c r="H20" s="18">
        <v>0</v>
      </c>
      <c r="I20" s="18">
        <v>1</v>
      </c>
    </row>
    <row r="21" spans="1:9">
      <c r="A21" s="18">
        <v>21</v>
      </c>
      <c r="B21" s="18" t="s">
        <v>107</v>
      </c>
      <c r="C21" s="18">
        <v>1.2749999999999999</v>
      </c>
      <c r="D21" s="18">
        <v>0</v>
      </c>
      <c r="E21" s="18">
        <v>1</v>
      </c>
      <c r="F21" s="18">
        <v>0</v>
      </c>
      <c r="G21" s="18">
        <v>0</v>
      </c>
      <c r="H21" s="18">
        <v>0</v>
      </c>
      <c r="I21" s="18">
        <v>1</v>
      </c>
    </row>
    <row r="22" spans="1:9">
      <c r="A22" s="18">
        <v>22</v>
      </c>
      <c r="B22" s="18" t="s">
        <v>125</v>
      </c>
      <c r="C22" s="18">
        <v>2.0699999999999998</v>
      </c>
      <c r="D22" s="18">
        <v>1</v>
      </c>
      <c r="E22" s="18">
        <v>0</v>
      </c>
      <c r="F22" s="18">
        <v>0</v>
      </c>
      <c r="G22" s="18">
        <v>0</v>
      </c>
      <c r="H22" s="18">
        <v>0</v>
      </c>
      <c r="I22" s="18">
        <v>1</v>
      </c>
    </row>
    <row r="23" spans="1:9">
      <c r="A23" s="18">
        <v>23</v>
      </c>
      <c r="B23" s="18" t="s">
        <v>4</v>
      </c>
      <c r="C23" s="18">
        <v>4.1399999999999997</v>
      </c>
      <c r="D23" s="18">
        <v>2</v>
      </c>
      <c r="E23" s="18">
        <v>0</v>
      </c>
      <c r="F23" s="18">
        <v>0</v>
      </c>
      <c r="G23" s="18">
        <v>0</v>
      </c>
      <c r="H23" s="18">
        <v>0</v>
      </c>
      <c r="I23" s="18">
        <v>1</v>
      </c>
    </row>
    <row r="24" spans="1:9">
      <c r="A24" s="18">
        <v>23.5</v>
      </c>
      <c r="B24" s="18" t="s">
        <v>9</v>
      </c>
      <c r="C24" s="18">
        <v>2.5499999999999998</v>
      </c>
      <c r="D24" s="18">
        <v>0</v>
      </c>
      <c r="E24" s="18">
        <v>2</v>
      </c>
      <c r="F24" s="18">
        <v>0</v>
      </c>
      <c r="G24" s="18">
        <v>0</v>
      </c>
      <c r="H24" s="18">
        <v>0</v>
      </c>
      <c r="I24" s="18">
        <v>1</v>
      </c>
    </row>
    <row r="25" spans="1:9">
      <c r="A25" s="18"/>
      <c r="B25" s="18"/>
      <c r="C25" s="18">
        <f>SUM(C1:C24)</f>
        <v>67.859999999999985</v>
      </c>
      <c r="D25" s="18"/>
      <c r="E25" s="18"/>
      <c r="F25" s="18"/>
      <c r="G25" s="18"/>
      <c r="H25" s="18"/>
      <c r="I25" s="18"/>
    </row>
    <row r="27" spans="1:9">
      <c r="A27" s="18">
        <v>29</v>
      </c>
      <c r="B27" s="18" t="s">
        <v>131</v>
      </c>
      <c r="C27" s="18">
        <v>2.0699999999999998</v>
      </c>
      <c r="D27" s="18">
        <v>1</v>
      </c>
      <c r="E27" s="18">
        <v>0</v>
      </c>
      <c r="F27" s="18">
        <v>0</v>
      </c>
      <c r="G27" s="18">
        <v>0</v>
      </c>
      <c r="H27" s="18">
        <v>0</v>
      </c>
      <c r="I27" s="18">
        <v>1</v>
      </c>
    </row>
    <row r="28" spans="1:9">
      <c r="A28" s="18">
        <v>29.4</v>
      </c>
      <c r="B28" s="18" t="s">
        <v>52</v>
      </c>
      <c r="C28" s="18">
        <v>2.0699999999999998</v>
      </c>
      <c r="D28" s="18">
        <v>1</v>
      </c>
      <c r="E28" s="18">
        <v>0</v>
      </c>
      <c r="F28" s="18">
        <v>0</v>
      </c>
      <c r="G28" s="18">
        <v>0</v>
      </c>
      <c r="H28" s="18">
        <v>0</v>
      </c>
      <c r="I28" s="18">
        <v>1</v>
      </c>
    </row>
    <row r="29" spans="1:9">
      <c r="A29" s="18">
        <v>29.44</v>
      </c>
      <c r="B29" s="18" t="s">
        <v>79</v>
      </c>
      <c r="C29" s="18">
        <v>2.0699999999999998</v>
      </c>
      <c r="D29" s="18">
        <v>1</v>
      </c>
      <c r="E29" s="18">
        <v>0</v>
      </c>
      <c r="F29" s="18">
        <v>0</v>
      </c>
      <c r="G29" s="18">
        <v>0</v>
      </c>
      <c r="H29" s="18">
        <v>0</v>
      </c>
      <c r="I29" s="18">
        <v>1</v>
      </c>
    </row>
    <row r="30" spans="1:9" s="17" customFormat="1">
      <c r="A30" s="19">
        <v>29.5</v>
      </c>
      <c r="B30" s="19" t="s">
        <v>74</v>
      </c>
      <c r="C30" s="19">
        <v>1.2749999999999999</v>
      </c>
      <c r="D30" s="19">
        <v>0</v>
      </c>
      <c r="E30" s="19">
        <v>1</v>
      </c>
      <c r="F30" s="19">
        <v>0</v>
      </c>
      <c r="G30" s="19">
        <v>0</v>
      </c>
      <c r="H30" s="19">
        <v>0</v>
      </c>
      <c r="I30" s="19">
        <v>1</v>
      </c>
    </row>
    <row r="31" spans="1:9">
      <c r="A31" s="18">
        <v>30</v>
      </c>
      <c r="B31" s="18" t="s">
        <v>11</v>
      </c>
      <c r="C31" s="18">
        <v>2.5499999999999998</v>
      </c>
      <c r="D31" s="18">
        <v>0</v>
      </c>
      <c r="E31" s="18">
        <v>2</v>
      </c>
      <c r="F31" s="18">
        <v>0</v>
      </c>
      <c r="G31" s="18">
        <v>0</v>
      </c>
      <c r="H31" s="18">
        <v>0</v>
      </c>
      <c r="I31" s="18">
        <v>1</v>
      </c>
    </row>
    <row r="32" spans="1:9">
      <c r="A32" s="18">
        <v>31</v>
      </c>
      <c r="B32" s="18" t="s">
        <v>82</v>
      </c>
      <c r="C32" s="18">
        <v>1.2749999999999999</v>
      </c>
      <c r="D32" s="18">
        <v>0</v>
      </c>
      <c r="E32" s="18">
        <v>1</v>
      </c>
      <c r="F32" s="18">
        <v>0</v>
      </c>
      <c r="G32" s="18">
        <v>0</v>
      </c>
      <c r="H32" s="18">
        <v>0</v>
      </c>
      <c r="I32" s="18">
        <v>1</v>
      </c>
    </row>
    <row r="33" spans="1:9" s="17" customFormat="1">
      <c r="A33" s="19">
        <v>32</v>
      </c>
      <c r="B33" s="19" t="s">
        <v>141</v>
      </c>
      <c r="C33" s="19">
        <v>2.0699999999999998</v>
      </c>
      <c r="D33" s="19">
        <v>1</v>
      </c>
      <c r="E33" s="19">
        <v>0</v>
      </c>
      <c r="F33" s="19">
        <v>0</v>
      </c>
      <c r="G33" s="19">
        <v>0</v>
      </c>
      <c r="H33" s="19">
        <v>0</v>
      </c>
      <c r="I33" s="19">
        <v>1</v>
      </c>
    </row>
    <row r="34" spans="1:9">
      <c r="A34" s="18">
        <v>33</v>
      </c>
      <c r="B34" s="18" t="s">
        <v>132</v>
      </c>
      <c r="C34" s="18">
        <v>2.5499999999999998</v>
      </c>
      <c r="D34" s="18">
        <v>0</v>
      </c>
      <c r="E34" s="18">
        <v>2</v>
      </c>
      <c r="F34" s="18">
        <v>0</v>
      </c>
      <c r="G34" s="18">
        <v>0</v>
      </c>
      <c r="H34" s="18">
        <v>0</v>
      </c>
      <c r="I34" s="18">
        <v>1</v>
      </c>
    </row>
    <row r="35" spans="1:9" s="17" customFormat="1">
      <c r="A35" s="19">
        <v>34</v>
      </c>
      <c r="B35" s="19" t="s">
        <v>69</v>
      </c>
      <c r="C35" s="19">
        <v>2.0699999999999998</v>
      </c>
      <c r="D35" s="19">
        <v>1</v>
      </c>
      <c r="E35" s="19">
        <v>0</v>
      </c>
      <c r="F35" s="19">
        <v>0</v>
      </c>
      <c r="G35" s="19">
        <v>0</v>
      </c>
      <c r="H35" s="19">
        <v>0</v>
      </c>
      <c r="I35" s="19">
        <v>1</v>
      </c>
    </row>
    <row r="36" spans="1:9">
      <c r="A36" s="18">
        <v>35</v>
      </c>
      <c r="B36" s="18" t="s">
        <v>87</v>
      </c>
      <c r="C36" s="18">
        <v>1.2749999999999999</v>
      </c>
      <c r="D36" s="18">
        <v>0</v>
      </c>
      <c r="E36" s="18">
        <v>1</v>
      </c>
      <c r="F36" s="18">
        <v>0</v>
      </c>
      <c r="G36" s="18">
        <v>0</v>
      </c>
      <c r="H36" s="18">
        <v>0</v>
      </c>
      <c r="I36" s="18">
        <v>1</v>
      </c>
    </row>
    <row r="37" spans="1:9">
      <c r="A37" s="18">
        <v>36</v>
      </c>
      <c r="B37" s="18" t="s">
        <v>81</v>
      </c>
      <c r="C37" s="18">
        <v>1.2749999999999999</v>
      </c>
      <c r="D37" s="18">
        <v>0</v>
      </c>
      <c r="E37" s="18">
        <v>1</v>
      </c>
      <c r="F37" s="18">
        <v>0</v>
      </c>
      <c r="G37" s="18">
        <v>0</v>
      </c>
      <c r="H37" s="18">
        <v>0</v>
      </c>
      <c r="I37" s="18">
        <v>1</v>
      </c>
    </row>
    <row r="38" spans="1:9">
      <c r="A38" s="18">
        <v>37</v>
      </c>
      <c r="B38" s="18" t="s">
        <v>36</v>
      </c>
      <c r="C38" s="18">
        <v>2.0699999999999998</v>
      </c>
      <c r="D38" s="18">
        <v>1</v>
      </c>
      <c r="E38" s="18">
        <v>0</v>
      </c>
      <c r="F38" s="18">
        <v>0</v>
      </c>
      <c r="G38" s="18">
        <v>0</v>
      </c>
      <c r="H38" s="18">
        <v>0</v>
      </c>
      <c r="I38" s="18">
        <v>1</v>
      </c>
    </row>
    <row r="39" spans="1:9" s="17" customFormat="1">
      <c r="A39" s="19">
        <v>38</v>
      </c>
      <c r="B39" s="19" t="s">
        <v>41</v>
      </c>
      <c r="C39" s="19">
        <v>1.2749999999999999</v>
      </c>
      <c r="D39" s="19">
        <v>0</v>
      </c>
      <c r="E39" s="19">
        <v>1</v>
      </c>
      <c r="F39" s="19">
        <v>0</v>
      </c>
      <c r="G39" s="19">
        <v>0</v>
      </c>
      <c r="H39" s="19">
        <v>0</v>
      </c>
      <c r="I39" s="19">
        <v>1</v>
      </c>
    </row>
    <row r="40" spans="1:9">
      <c r="A40" s="18">
        <v>39</v>
      </c>
      <c r="B40" s="18" t="s">
        <v>104</v>
      </c>
      <c r="C40" s="18">
        <v>1.2749999999999999</v>
      </c>
      <c r="D40" s="18">
        <v>0</v>
      </c>
      <c r="E40" s="18">
        <v>1</v>
      </c>
      <c r="F40" s="18">
        <v>0</v>
      </c>
      <c r="G40" s="18">
        <v>0</v>
      </c>
      <c r="H40" s="18">
        <v>0</v>
      </c>
      <c r="I40" s="18">
        <v>1</v>
      </c>
    </row>
    <row r="41" spans="1:9">
      <c r="A41" s="18">
        <v>40</v>
      </c>
      <c r="B41" s="18" t="s">
        <v>57</v>
      </c>
      <c r="C41" s="18">
        <v>1.2749999999999999</v>
      </c>
      <c r="D41" s="18">
        <v>0</v>
      </c>
      <c r="E41" s="18">
        <v>1</v>
      </c>
      <c r="F41" s="18">
        <v>0</v>
      </c>
      <c r="G41" s="18">
        <v>0</v>
      </c>
      <c r="H41" s="18">
        <v>0</v>
      </c>
      <c r="I41" s="18">
        <v>1</v>
      </c>
    </row>
    <row r="42" spans="1:9">
      <c r="A42" s="18">
        <v>41</v>
      </c>
      <c r="B42" s="18" t="s">
        <v>140</v>
      </c>
      <c r="C42" s="18">
        <v>1.2749999999999999</v>
      </c>
      <c r="D42" s="18">
        <v>0</v>
      </c>
      <c r="E42" s="18">
        <v>1</v>
      </c>
      <c r="F42" s="18">
        <v>0</v>
      </c>
      <c r="G42" s="18">
        <v>0</v>
      </c>
      <c r="H42" s="18">
        <v>0</v>
      </c>
      <c r="I42" s="18">
        <v>1</v>
      </c>
    </row>
    <row r="43" spans="1:9">
      <c r="A43" s="18">
        <v>41.1</v>
      </c>
      <c r="B43" s="18" t="s">
        <v>138</v>
      </c>
      <c r="C43" s="18">
        <v>1.2749999999999999</v>
      </c>
      <c r="D43" s="18">
        <v>0</v>
      </c>
      <c r="E43" s="18">
        <v>1</v>
      </c>
      <c r="F43" s="18">
        <v>0</v>
      </c>
      <c r="G43" s="18">
        <v>0</v>
      </c>
      <c r="H43" s="18">
        <v>0</v>
      </c>
      <c r="I43" s="18">
        <v>1</v>
      </c>
    </row>
    <row r="44" spans="1:9" s="17" customFormat="1">
      <c r="A44" s="19">
        <v>41.2</v>
      </c>
      <c r="B44" s="19" t="s">
        <v>61</v>
      </c>
      <c r="C44" s="19">
        <v>2.0699999999999998</v>
      </c>
      <c r="D44" s="19">
        <v>1</v>
      </c>
      <c r="E44" s="19">
        <v>0</v>
      </c>
      <c r="F44" s="19">
        <v>0</v>
      </c>
      <c r="G44" s="19">
        <v>0</v>
      </c>
      <c r="H44" s="19">
        <v>0</v>
      </c>
      <c r="I44" s="19">
        <v>1</v>
      </c>
    </row>
    <row r="45" spans="1:9">
      <c r="A45" s="18">
        <v>41.3</v>
      </c>
      <c r="B45" s="18" t="s">
        <v>38</v>
      </c>
      <c r="C45" s="18">
        <v>4.1399999999999997</v>
      </c>
      <c r="D45" s="18">
        <v>2</v>
      </c>
      <c r="E45" s="18">
        <v>0</v>
      </c>
      <c r="F45" s="18">
        <v>0</v>
      </c>
      <c r="G45" s="18">
        <v>0</v>
      </c>
      <c r="H45" s="18">
        <v>0</v>
      </c>
      <c r="I45" s="18">
        <v>1</v>
      </c>
    </row>
    <row r="46" spans="1:9" s="17" customFormat="1">
      <c r="A46" s="19">
        <v>41.4</v>
      </c>
      <c r="B46" s="19" t="s">
        <v>50</v>
      </c>
      <c r="C46" s="19">
        <v>3.7</v>
      </c>
      <c r="D46" s="19">
        <v>0</v>
      </c>
      <c r="E46" s="19">
        <v>0</v>
      </c>
      <c r="F46" s="19">
        <v>0</v>
      </c>
      <c r="G46" s="19">
        <v>0</v>
      </c>
      <c r="H46" s="19">
        <v>1</v>
      </c>
      <c r="I46" s="19">
        <v>1</v>
      </c>
    </row>
    <row r="47" spans="1:9">
      <c r="A47" s="18">
        <v>42</v>
      </c>
      <c r="B47" s="18" t="s">
        <v>130</v>
      </c>
      <c r="C47" s="18">
        <v>2.0699999999999998</v>
      </c>
      <c r="D47" s="18">
        <v>1</v>
      </c>
      <c r="E47" s="18">
        <v>0</v>
      </c>
      <c r="F47" s="18">
        <v>0</v>
      </c>
      <c r="G47" s="18">
        <v>0</v>
      </c>
      <c r="H47" s="18">
        <v>0</v>
      </c>
      <c r="I47" s="18">
        <v>1</v>
      </c>
    </row>
    <row r="48" spans="1:9">
      <c r="A48" s="18">
        <v>43</v>
      </c>
      <c r="B48" s="18" t="s">
        <v>122</v>
      </c>
      <c r="C48" s="18">
        <v>2.0699999999999998</v>
      </c>
      <c r="D48" s="18">
        <v>1</v>
      </c>
      <c r="E48" s="18">
        <v>0</v>
      </c>
      <c r="F48" s="18">
        <v>0</v>
      </c>
      <c r="G48" s="18">
        <v>0</v>
      </c>
      <c r="H48" s="18">
        <v>0</v>
      </c>
      <c r="I48" s="18">
        <v>1</v>
      </c>
    </row>
    <row r="49" spans="1:9">
      <c r="A49" s="18">
        <v>44</v>
      </c>
      <c r="B49" s="18" t="s">
        <v>6</v>
      </c>
      <c r="C49" s="18">
        <v>3.3449999999999998</v>
      </c>
      <c r="D49" s="18">
        <v>1</v>
      </c>
      <c r="E49" s="18">
        <v>1</v>
      </c>
      <c r="F49" s="18">
        <v>0</v>
      </c>
      <c r="G49" s="18">
        <v>0</v>
      </c>
      <c r="H49" s="18">
        <v>0</v>
      </c>
      <c r="I49" s="18">
        <v>1</v>
      </c>
    </row>
    <row r="50" spans="1:9" s="17" customFormat="1">
      <c r="A50" s="19">
        <v>45</v>
      </c>
      <c r="B50" s="19" t="s">
        <v>43</v>
      </c>
      <c r="C50" s="19">
        <v>1.2749999999999999</v>
      </c>
      <c r="D50" s="19">
        <v>0</v>
      </c>
      <c r="E50" s="19">
        <v>1</v>
      </c>
      <c r="F50" s="19">
        <v>0</v>
      </c>
      <c r="G50" s="19">
        <v>0</v>
      </c>
      <c r="H50" s="19">
        <v>0</v>
      </c>
      <c r="I50" s="19">
        <v>1</v>
      </c>
    </row>
    <row r="51" spans="1:9">
      <c r="A51" s="18">
        <v>46</v>
      </c>
      <c r="B51" s="18" t="s">
        <v>113</v>
      </c>
      <c r="C51" s="18">
        <v>4.1399999999999997</v>
      </c>
      <c r="D51" s="18">
        <v>2</v>
      </c>
      <c r="E51" s="18">
        <v>0</v>
      </c>
      <c r="F51" s="18">
        <v>0</v>
      </c>
      <c r="G51" s="18">
        <v>0</v>
      </c>
      <c r="H51" s="18">
        <v>0</v>
      </c>
      <c r="I51" s="18">
        <v>1</v>
      </c>
    </row>
    <row r="52" spans="1:9" s="17" customFormat="1">
      <c r="A52" s="19">
        <v>47</v>
      </c>
      <c r="B52" s="19" t="s">
        <v>5</v>
      </c>
      <c r="C52" s="19">
        <v>2.0699999999999998</v>
      </c>
      <c r="D52" s="19">
        <v>1</v>
      </c>
      <c r="E52" s="19">
        <v>0</v>
      </c>
      <c r="F52" s="19">
        <v>0</v>
      </c>
      <c r="G52" s="19">
        <v>0</v>
      </c>
      <c r="H52" s="19">
        <v>0</v>
      </c>
      <c r="I52" s="19">
        <v>1</v>
      </c>
    </row>
    <row r="53" spans="1:9">
      <c r="A53" s="18">
        <v>48</v>
      </c>
      <c r="B53" s="18" t="s">
        <v>0</v>
      </c>
      <c r="C53" s="18">
        <v>2.0699999999999998</v>
      </c>
      <c r="D53" s="18">
        <v>1</v>
      </c>
      <c r="E53" s="18">
        <v>0</v>
      </c>
      <c r="F53" s="18">
        <v>0</v>
      </c>
      <c r="G53" s="18">
        <v>0</v>
      </c>
      <c r="H53" s="18">
        <v>0</v>
      </c>
      <c r="I53" s="18">
        <v>1</v>
      </c>
    </row>
    <row r="54" spans="1:9" s="17" customFormat="1">
      <c r="A54" s="19">
        <v>49</v>
      </c>
      <c r="B54" s="19" t="s">
        <v>62</v>
      </c>
      <c r="C54" s="19">
        <v>2.0699999999999998</v>
      </c>
      <c r="D54" s="19">
        <v>1</v>
      </c>
      <c r="E54" s="19">
        <v>0</v>
      </c>
      <c r="F54" s="19">
        <v>0</v>
      </c>
      <c r="G54" s="19">
        <v>0</v>
      </c>
      <c r="H54" s="19">
        <v>0</v>
      </c>
      <c r="I54" s="19">
        <v>1</v>
      </c>
    </row>
    <row r="55" spans="1:9">
      <c r="A55" s="18">
        <v>50</v>
      </c>
      <c r="B55" s="18" t="s">
        <v>47</v>
      </c>
      <c r="C55" s="18">
        <v>1.2749999999999999</v>
      </c>
      <c r="D55" s="18">
        <v>0</v>
      </c>
      <c r="E55" s="18">
        <v>1</v>
      </c>
      <c r="F55" s="18">
        <v>0</v>
      </c>
      <c r="G55" s="18">
        <v>0</v>
      </c>
      <c r="H55" s="18">
        <v>0</v>
      </c>
      <c r="I55" s="18">
        <v>1</v>
      </c>
    </row>
    <row r="56" spans="1:9">
      <c r="A56" s="18">
        <v>51</v>
      </c>
      <c r="B56" s="18" t="s">
        <v>58</v>
      </c>
      <c r="C56" s="18">
        <v>2.0699999999999998</v>
      </c>
      <c r="D56" s="18">
        <v>1</v>
      </c>
      <c r="E56" s="18">
        <v>0</v>
      </c>
      <c r="F56" s="18">
        <v>0</v>
      </c>
      <c r="G56" s="18">
        <v>0</v>
      </c>
      <c r="H56" s="18">
        <v>0</v>
      </c>
      <c r="I56" s="18">
        <v>1</v>
      </c>
    </row>
    <row r="57" spans="1:9">
      <c r="A57" s="18">
        <v>51</v>
      </c>
      <c r="B57" s="18" t="s">
        <v>86</v>
      </c>
      <c r="C57" s="18">
        <v>2.0699999999999998</v>
      </c>
      <c r="D57" s="18">
        <v>1</v>
      </c>
      <c r="E57" s="18">
        <v>0</v>
      </c>
      <c r="F57" s="18">
        <v>0</v>
      </c>
      <c r="G57" s="18">
        <v>0</v>
      </c>
      <c r="H57" s="18">
        <v>0</v>
      </c>
      <c r="I57" s="18">
        <v>1</v>
      </c>
    </row>
    <row r="58" spans="1:9">
      <c r="A58" s="18">
        <v>52</v>
      </c>
      <c r="B58" s="18" t="s">
        <v>117</v>
      </c>
      <c r="C58" s="18">
        <v>1.2749999999999999</v>
      </c>
      <c r="D58" s="18">
        <v>0</v>
      </c>
      <c r="E58" s="18">
        <v>1</v>
      </c>
      <c r="F58" s="18">
        <v>0</v>
      </c>
      <c r="G58" s="18">
        <v>0</v>
      </c>
      <c r="H58" s="18">
        <v>0</v>
      </c>
      <c r="I58" s="18">
        <v>1</v>
      </c>
    </row>
    <row r="59" spans="1:9" s="17" customFormat="1">
      <c r="A59" s="19">
        <v>53</v>
      </c>
      <c r="B59" s="19" t="s">
        <v>63</v>
      </c>
      <c r="C59" s="19">
        <v>2.0699999999999998</v>
      </c>
      <c r="D59" s="19">
        <v>1</v>
      </c>
      <c r="E59" s="19">
        <v>0</v>
      </c>
      <c r="F59" s="19">
        <v>0</v>
      </c>
      <c r="G59" s="19">
        <v>0</v>
      </c>
      <c r="H59" s="19">
        <v>0</v>
      </c>
      <c r="I59" s="19">
        <v>1</v>
      </c>
    </row>
    <row r="60" spans="1:9">
      <c r="A60" s="18">
        <v>55</v>
      </c>
      <c r="B60" s="18" t="s">
        <v>54</v>
      </c>
      <c r="C60" s="18">
        <v>2.0699999999999998</v>
      </c>
      <c r="D60" s="18">
        <v>1</v>
      </c>
      <c r="E60" s="18">
        <v>0</v>
      </c>
      <c r="F60" s="18">
        <v>0</v>
      </c>
      <c r="G60" s="18">
        <v>0</v>
      </c>
      <c r="H60" s="18">
        <v>0</v>
      </c>
      <c r="I60" s="18">
        <v>1</v>
      </c>
    </row>
    <row r="61" spans="1:9">
      <c r="A61" s="18">
        <v>56</v>
      </c>
      <c r="B61" s="18" t="s">
        <v>94</v>
      </c>
      <c r="C61" s="18">
        <v>2.0699999999999998</v>
      </c>
      <c r="D61" s="18">
        <v>1</v>
      </c>
      <c r="E61" s="18">
        <v>0</v>
      </c>
      <c r="F61" s="18">
        <v>0</v>
      </c>
      <c r="G61" s="18">
        <v>0</v>
      </c>
      <c r="H61" s="18">
        <v>0</v>
      </c>
      <c r="I61" s="18">
        <v>1</v>
      </c>
    </row>
    <row r="62" spans="1:9">
      <c r="A62" s="18"/>
      <c r="B62" s="18">
        <v>0</v>
      </c>
      <c r="C62" s="18">
        <f>SUM(C27:C61)</f>
        <v>70.914999999999978</v>
      </c>
      <c r="D62" s="18">
        <v>180</v>
      </c>
      <c r="E62" s="18">
        <v>150</v>
      </c>
      <c r="F62" s="18" t="s">
        <v>143</v>
      </c>
      <c r="G62" s="18">
        <v>400</v>
      </c>
      <c r="H62" s="18">
        <v>250</v>
      </c>
      <c r="I62" s="18" t="s">
        <v>147</v>
      </c>
    </row>
    <row r="67" s="17" customForma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opLeftCell="A17" zoomScaleNormal="100" workbookViewId="0">
      <selection activeCell="C58" sqref="C58:C59"/>
    </sheetView>
  </sheetViews>
  <sheetFormatPr defaultColWidth="11.5703125" defaultRowHeight="15"/>
  <cols>
    <col min="1" max="1" width="5" bestFit="1" customWidth="1"/>
    <col min="2" max="2" width="53.28515625" customWidth="1"/>
    <col min="3" max="3" width="7" bestFit="1" customWidth="1"/>
    <col min="4" max="4" width="4" bestFit="1" customWidth="1"/>
    <col min="5" max="5" width="3.42578125" customWidth="1"/>
    <col min="6" max="6" width="3.7109375" customWidth="1"/>
    <col min="7" max="7" width="3.5703125" customWidth="1"/>
    <col min="8" max="10" width="2.42578125" bestFit="1" customWidth="1"/>
  </cols>
  <sheetData>
    <row r="1" spans="1:9" s="17" customFormat="1">
      <c r="A1" s="19">
        <v>1</v>
      </c>
      <c r="B1" s="19" t="s">
        <v>14</v>
      </c>
      <c r="C1" s="19">
        <v>4.6199999999999992</v>
      </c>
      <c r="D1" s="19">
        <v>1</v>
      </c>
      <c r="E1" s="19">
        <v>0</v>
      </c>
      <c r="F1" s="19">
        <v>0</v>
      </c>
      <c r="G1" s="19">
        <v>0</v>
      </c>
      <c r="H1" s="19">
        <v>0</v>
      </c>
      <c r="I1" s="19">
        <v>1</v>
      </c>
    </row>
    <row r="2" spans="1:9">
      <c r="A2" s="18">
        <v>2</v>
      </c>
      <c r="B2" s="18" t="s">
        <v>27</v>
      </c>
      <c r="C2" s="18">
        <v>3.3449999999999998</v>
      </c>
      <c r="D2" s="18">
        <v>1</v>
      </c>
      <c r="E2" s="18">
        <v>0</v>
      </c>
      <c r="F2" s="18">
        <v>1</v>
      </c>
      <c r="G2" s="18">
        <v>0</v>
      </c>
      <c r="H2" s="18">
        <v>0</v>
      </c>
      <c r="I2" s="18">
        <v>1</v>
      </c>
    </row>
    <row r="3" spans="1:9">
      <c r="A3" s="18">
        <v>3</v>
      </c>
      <c r="B3" s="18" t="s">
        <v>3</v>
      </c>
      <c r="C3" s="18">
        <v>6.6899999999999995</v>
      </c>
      <c r="D3" s="18">
        <v>2</v>
      </c>
      <c r="E3" s="18">
        <v>2</v>
      </c>
      <c r="F3" s="18">
        <v>0</v>
      </c>
      <c r="G3" s="18">
        <v>0</v>
      </c>
      <c r="H3" s="18">
        <v>0</v>
      </c>
      <c r="I3" s="18">
        <v>1</v>
      </c>
    </row>
    <row r="4" spans="1:9">
      <c r="A4" s="18">
        <v>4</v>
      </c>
      <c r="B4" s="18" t="s">
        <v>28</v>
      </c>
      <c r="C4" s="18">
        <v>3.3449999999999998</v>
      </c>
      <c r="D4" s="18">
        <v>1</v>
      </c>
      <c r="E4" s="18">
        <v>1</v>
      </c>
      <c r="F4" s="18">
        <v>0</v>
      </c>
      <c r="G4" s="18">
        <v>0</v>
      </c>
      <c r="H4" s="18">
        <v>0</v>
      </c>
      <c r="I4" s="18">
        <v>1</v>
      </c>
    </row>
    <row r="5" spans="1:9">
      <c r="A5" s="18">
        <v>5</v>
      </c>
      <c r="B5" s="18" t="s">
        <v>68</v>
      </c>
      <c r="C5" s="18">
        <v>2.5499999999999998</v>
      </c>
      <c r="D5" s="18">
        <v>0</v>
      </c>
      <c r="E5" s="18">
        <v>2</v>
      </c>
      <c r="F5" s="18">
        <v>0</v>
      </c>
      <c r="G5" s="18">
        <v>0</v>
      </c>
      <c r="H5" s="18">
        <v>0</v>
      </c>
      <c r="I5" s="18">
        <v>1</v>
      </c>
    </row>
    <row r="6" spans="1:9">
      <c r="A6" s="18">
        <v>6</v>
      </c>
      <c r="B6" s="18" t="s">
        <v>2</v>
      </c>
      <c r="C6" s="18">
        <v>1.2749999999999999</v>
      </c>
      <c r="D6" s="18">
        <v>0</v>
      </c>
      <c r="E6" s="18">
        <v>1</v>
      </c>
      <c r="F6" s="18">
        <v>0</v>
      </c>
      <c r="G6" s="18">
        <v>0</v>
      </c>
      <c r="H6" s="18">
        <v>0</v>
      </c>
      <c r="I6" s="18">
        <v>1</v>
      </c>
    </row>
    <row r="7" spans="1:9">
      <c r="A7" s="18">
        <v>6.5</v>
      </c>
      <c r="B7" s="18" t="s">
        <v>24</v>
      </c>
      <c r="C7" s="18">
        <v>2.0699999999999998</v>
      </c>
      <c r="D7" s="18">
        <v>1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</row>
    <row r="8" spans="1:9">
      <c r="A8" s="18">
        <v>7</v>
      </c>
      <c r="B8" s="18" t="s">
        <v>49</v>
      </c>
      <c r="C8" s="18">
        <v>1.2749999999999999</v>
      </c>
      <c r="D8" s="18">
        <v>0</v>
      </c>
      <c r="E8" s="18">
        <v>1</v>
      </c>
      <c r="F8" s="18">
        <v>0</v>
      </c>
      <c r="G8" s="18">
        <v>0</v>
      </c>
      <c r="H8" s="18">
        <v>0</v>
      </c>
      <c r="I8" s="18">
        <v>1</v>
      </c>
    </row>
    <row r="9" spans="1:9">
      <c r="A9" s="18">
        <v>7.1</v>
      </c>
      <c r="B9" s="18" t="s">
        <v>35</v>
      </c>
      <c r="C9" s="18">
        <v>2.0699999999999998</v>
      </c>
      <c r="D9" s="18">
        <v>1</v>
      </c>
      <c r="E9" s="18">
        <v>0</v>
      </c>
      <c r="F9" s="18">
        <v>0</v>
      </c>
      <c r="G9" s="18">
        <v>0</v>
      </c>
      <c r="H9" s="18">
        <v>0</v>
      </c>
      <c r="I9" s="18">
        <v>1</v>
      </c>
    </row>
    <row r="10" spans="1:9">
      <c r="A10" s="18">
        <v>7.2</v>
      </c>
      <c r="B10" s="18" t="s">
        <v>37</v>
      </c>
      <c r="C10" s="18">
        <v>1.2749999999999999</v>
      </c>
      <c r="D10" s="18">
        <v>0</v>
      </c>
      <c r="E10" s="18">
        <v>1</v>
      </c>
      <c r="F10" s="18">
        <v>0</v>
      </c>
      <c r="G10" s="18">
        <v>0</v>
      </c>
      <c r="H10" s="18">
        <v>0</v>
      </c>
      <c r="I10" s="18">
        <v>1</v>
      </c>
    </row>
    <row r="11" spans="1:9">
      <c r="A11" s="18">
        <v>7.5</v>
      </c>
      <c r="B11" s="18" t="s">
        <v>72</v>
      </c>
      <c r="C11" s="18">
        <v>3.3449999999999998</v>
      </c>
      <c r="D11" s="18">
        <v>1</v>
      </c>
      <c r="E11" s="18">
        <v>1</v>
      </c>
      <c r="F11" s="18">
        <v>0</v>
      </c>
      <c r="G11" s="18">
        <v>0</v>
      </c>
      <c r="H11" s="18">
        <v>0</v>
      </c>
      <c r="I11" s="18">
        <v>1</v>
      </c>
    </row>
    <row r="12" spans="1:9">
      <c r="A12" s="18">
        <v>8</v>
      </c>
      <c r="B12" s="18" t="s">
        <v>1</v>
      </c>
      <c r="C12" s="18">
        <v>2.0699999999999998</v>
      </c>
      <c r="D12" s="18">
        <v>1</v>
      </c>
      <c r="E12" s="18">
        <v>0</v>
      </c>
      <c r="F12" s="18">
        <v>0</v>
      </c>
      <c r="G12" s="18">
        <v>0</v>
      </c>
      <c r="H12" s="18">
        <v>0</v>
      </c>
      <c r="I12" s="18">
        <v>1</v>
      </c>
    </row>
    <row r="13" spans="1:9">
      <c r="A13" s="18"/>
      <c r="B13" s="4" t="s">
        <v>78</v>
      </c>
      <c r="C13" s="4">
        <v>2.5499999999999998</v>
      </c>
      <c r="D13" s="18"/>
      <c r="E13" s="18"/>
      <c r="F13" s="18"/>
      <c r="G13" s="18"/>
      <c r="H13" s="18"/>
      <c r="I13" s="18"/>
    </row>
    <row r="14" spans="1:9" s="23" customFormat="1">
      <c r="A14" s="24">
        <v>9</v>
      </c>
      <c r="B14" s="24" t="s">
        <v>76</v>
      </c>
      <c r="C14" s="24">
        <v>4.1399999999999997</v>
      </c>
      <c r="D14" s="24">
        <v>2</v>
      </c>
      <c r="E14" s="24">
        <v>0</v>
      </c>
      <c r="F14" s="24">
        <v>0</v>
      </c>
      <c r="G14" s="24">
        <v>0</v>
      </c>
      <c r="H14" s="24">
        <v>0</v>
      </c>
      <c r="I14" s="24">
        <v>1</v>
      </c>
    </row>
    <row r="15" spans="1:9">
      <c r="A15" s="18">
        <v>10</v>
      </c>
      <c r="B15" s="18" t="s">
        <v>136</v>
      </c>
      <c r="C15" s="18">
        <v>2.0699999999999998</v>
      </c>
      <c r="D15" s="18">
        <v>1</v>
      </c>
      <c r="E15" s="18">
        <v>0</v>
      </c>
      <c r="F15" s="18">
        <v>0</v>
      </c>
      <c r="G15" s="18">
        <v>0</v>
      </c>
      <c r="H15" s="18">
        <v>0</v>
      </c>
      <c r="I15" s="18">
        <v>1</v>
      </c>
    </row>
    <row r="16" spans="1:9">
      <c r="A16" s="18">
        <v>10</v>
      </c>
      <c r="B16" s="18" t="s">
        <v>7</v>
      </c>
      <c r="C16" s="18">
        <v>4.1399999999999997</v>
      </c>
      <c r="D16" s="18">
        <v>2</v>
      </c>
      <c r="E16" s="18">
        <v>0</v>
      </c>
      <c r="F16" s="18">
        <v>0</v>
      </c>
      <c r="G16" s="18">
        <v>0</v>
      </c>
      <c r="H16" s="18">
        <v>0</v>
      </c>
      <c r="I16" s="18">
        <v>1</v>
      </c>
    </row>
    <row r="17" spans="1:9" s="17" customFormat="1">
      <c r="A17" s="19">
        <v>10.5</v>
      </c>
      <c r="B17" s="19" t="s">
        <v>65</v>
      </c>
      <c r="C17" s="19">
        <v>2.0699999999999998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19">
        <v>1</v>
      </c>
    </row>
    <row r="18" spans="1:9" s="23" customFormat="1">
      <c r="A18" s="24">
        <v>11</v>
      </c>
      <c r="B18" s="24" t="s">
        <v>42</v>
      </c>
      <c r="C18" s="24">
        <v>1.2749999999999999</v>
      </c>
      <c r="D18" s="24">
        <v>0</v>
      </c>
      <c r="E18" s="24">
        <v>1</v>
      </c>
      <c r="F18" s="24">
        <v>0</v>
      </c>
      <c r="G18" s="24">
        <v>0</v>
      </c>
      <c r="H18" s="24">
        <v>0</v>
      </c>
      <c r="I18" s="24">
        <v>1</v>
      </c>
    </row>
    <row r="19" spans="1:9">
      <c r="A19" s="18">
        <v>12</v>
      </c>
      <c r="B19" s="18" t="s">
        <v>13</v>
      </c>
      <c r="C19" s="18">
        <v>1.2749999999999999</v>
      </c>
      <c r="D19" s="18">
        <v>0</v>
      </c>
      <c r="E19" s="18">
        <v>1</v>
      </c>
      <c r="F19" s="18">
        <v>0</v>
      </c>
      <c r="G19" s="18">
        <v>0</v>
      </c>
      <c r="H19" s="18">
        <v>0</v>
      </c>
      <c r="I19" s="18">
        <v>1</v>
      </c>
    </row>
    <row r="20" spans="1:9">
      <c r="A20" s="18">
        <v>13</v>
      </c>
      <c r="B20" s="18" t="s">
        <v>99</v>
      </c>
      <c r="C20" s="18">
        <v>2.0699999999999998</v>
      </c>
      <c r="D20" s="18">
        <v>1</v>
      </c>
      <c r="E20" s="18">
        <v>0</v>
      </c>
      <c r="F20" s="18">
        <v>0</v>
      </c>
      <c r="G20" s="18">
        <v>0</v>
      </c>
      <c r="H20" s="18">
        <v>0</v>
      </c>
      <c r="I20" s="18">
        <v>1</v>
      </c>
    </row>
    <row r="21" spans="1:9">
      <c r="A21" s="18">
        <v>14</v>
      </c>
      <c r="B21" s="18" t="s">
        <v>26</v>
      </c>
      <c r="C21" s="18">
        <v>2.0699999999999998</v>
      </c>
      <c r="D21" s="18">
        <v>1</v>
      </c>
      <c r="E21" s="18">
        <v>0</v>
      </c>
      <c r="F21" s="18">
        <v>0</v>
      </c>
      <c r="G21" s="18">
        <v>0</v>
      </c>
      <c r="H21" s="18">
        <v>0</v>
      </c>
      <c r="I21" s="18">
        <v>1</v>
      </c>
    </row>
    <row r="22" spans="1:9" s="17" customFormat="1">
      <c r="A22" s="19">
        <v>16</v>
      </c>
      <c r="B22" s="19" t="s">
        <v>21</v>
      </c>
      <c r="C22" s="19">
        <v>2.0699999999999998</v>
      </c>
      <c r="D22" s="19">
        <v>1</v>
      </c>
      <c r="E22" s="19">
        <v>0</v>
      </c>
      <c r="F22" s="19">
        <v>0</v>
      </c>
      <c r="G22" s="19">
        <v>0</v>
      </c>
      <c r="H22" s="19">
        <v>0</v>
      </c>
      <c r="I22" s="19">
        <v>1</v>
      </c>
    </row>
    <row r="23" spans="1:9">
      <c r="A23" s="18">
        <v>17</v>
      </c>
      <c r="B23" s="18" t="s">
        <v>4</v>
      </c>
      <c r="C23" s="18">
        <v>4.1399999999999997</v>
      </c>
      <c r="D23" s="18">
        <v>2</v>
      </c>
      <c r="E23" s="18">
        <v>0</v>
      </c>
      <c r="F23" s="18">
        <v>0</v>
      </c>
      <c r="G23" s="18">
        <v>0</v>
      </c>
      <c r="H23" s="18">
        <v>0</v>
      </c>
      <c r="I23" s="18">
        <v>1</v>
      </c>
    </row>
    <row r="24" spans="1:9">
      <c r="A24" s="18">
        <v>18</v>
      </c>
      <c r="B24" s="18" t="s">
        <v>32</v>
      </c>
      <c r="C24" s="18">
        <v>4.1399999999999997</v>
      </c>
      <c r="D24" s="18">
        <v>2</v>
      </c>
      <c r="E24" s="18">
        <v>0</v>
      </c>
      <c r="F24" s="18">
        <v>0</v>
      </c>
      <c r="G24" s="18">
        <v>0</v>
      </c>
      <c r="H24" s="18">
        <v>0</v>
      </c>
      <c r="I24" s="18">
        <v>1</v>
      </c>
    </row>
    <row r="25" spans="1:9" s="17" customFormat="1">
      <c r="A25" s="19">
        <v>19</v>
      </c>
      <c r="B25" s="19" t="s">
        <v>20</v>
      </c>
      <c r="C25" s="19">
        <v>2.0699999999999998</v>
      </c>
      <c r="D25" s="19">
        <v>1</v>
      </c>
      <c r="E25" s="19">
        <v>0</v>
      </c>
      <c r="F25" s="19">
        <v>0</v>
      </c>
      <c r="G25" s="19">
        <v>0</v>
      </c>
      <c r="H25" s="19">
        <v>0</v>
      </c>
      <c r="I25" s="19">
        <v>1</v>
      </c>
    </row>
    <row r="26" spans="1:9" s="17" customFormat="1">
      <c r="A26" s="19">
        <v>20</v>
      </c>
      <c r="B26" s="19" t="s">
        <v>19</v>
      </c>
      <c r="C26" s="19">
        <v>2.0699999999999998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1</v>
      </c>
    </row>
    <row r="27" spans="1:9">
      <c r="A27" s="18">
        <v>21</v>
      </c>
      <c r="B27" s="18" t="s">
        <v>16</v>
      </c>
      <c r="C27" s="18">
        <v>1.2749999999999999</v>
      </c>
      <c r="D27" s="18">
        <v>0</v>
      </c>
      <c r="E27" s="18">
        <v>1</v>
      </c>
      <c r="F27" s="18">
        <v>0</v>
      </c>
      <c r="G27" s="18">
        <v>0</v>
      </c>
      <c r="H27" s="18">
        <v>0</v>
      </c>
      <c r="I27" s="18">
        <v>1</v>
      </c>
    </row>
    <row r="28" spans="1:9">
      <c r="A28" s="18">
        <v>22</v>
      </c>
      <c r="B28" s="18" t="s">
        <v>17</v>
      </c>
      <c r="C28" s="18">
        <v>2.0699999999999998</v>
      </c>
      <c r="D28" s="18">
        <v>1</v>
      </c>
      <c r="E28" s="18">
        <v>0</v>
      </c>
      <c r="F28" s="18">
        <v>0</v>
      </c>
      <c r="G28" s="18">
        <v>0</v>
      </c>
      <c r="H28" s="18">
        <v>0</v>
      </c>
      <c r="I28" s="18">
        <v>1</v>
      </c>
    </row>
    <row r="29" spans="1:9" s="17" customFormat="1">
      <c r="A29" s="19">
        <v>23</v>
      </c>
      <c r="B29" s="19" t="s">
        <v>33</v>
      </c>
      <c r="C29" s="19">
        <v>1.2749999999999999</v>
      </c>
      <c r="D29" s="19">
        <v>0</v>
      </c>
      <c r="E29" s="19">
        <v>1</v>
      </c>
      <c r="F29" s="19">
        <v>0</v>
      </c>
      <c r="G29" s="19">
        <v>0</v>
      </c>
      <c r="H29" s="19">
        <v>0</v>
      </c>
      <c r="I29" s="19">
        <v>1</v>
      </c>
    </row>
    <row r="30" spans="1:9">
      <c r="A30" s="18">
        <v>23.1</v>
      </c>
      <c r="B30" s="18" t="s">
        <v>134</v>
      </c>
      <c r="C30" s="18">
        <v>1.2749999999999999</v>
      </c>
      <c r="D30" s="18">
        <v>0</v>
      </c>
      <c r="E30" s="18">
        <v>1</v>
      </c>
      <c r="F30" s="18">
        <v>0</v>
      </c>
      <c r="G30" s="18">
        <v>0</v>
      </c>
      <c r="H30" s="18">
        <v>0</v>
      </c>
      <c r="I30" s="18">
        <v>1</v>
      </c>
    </row>
    <row r="31" spans="1:9">
      <c r="A31" s="18">
        <v>23.2</v>
      </c>
      <c r="B31" s="18" t="s">
        <v>89</v>
      </c>
      <c r="C31" s="18">
        <v>1.2749999999999999</v>
      </c>
      <c r="D31" s="18">
        <v>0</v>
      </c>
      <c r="E31" s="18">
        <v>1</v>
      </c>
      <c r="F31" s="18">
        <v>0</v>
      </c>
      <c r="G31" s="18">
        <v>0</v>
      </c>
      <c r="H31" s="18">
        <v>0</v>
      </c>
      <c r="I31" s="18">
        <v>1</v>
      </c>
    </row>
    <row r="32" spans="1:9">
      <c r="A32" s="18">
        <v>23.5</v>
      </c>
      <c r="B32" s="18" t="s">
        <v>98</v>
      </c>
      <c r="C32" s="18">
        <v>1.2749999999999999</v>
      </c>
      <c r="D32" s="18">
        <v>0</v>
      </c>
      <c r="E32" s="18">
        <v>2</v>
      </c>
      <c r="F32" s="18">
        <v>0</v>
      </c>
      <c r="G32" s="18">
        <v>0</v>
      </c>
      <c r="H32" s="18">
        <v>0</v>
      </c>
      <c r="I32" s="18">
        <v>1</v>
      </c>
    </row>
    <row r="33" spans="1:9">
      <c r="A33" s="18"/>
      <c r="B33" s="18"/>
      <c r="C33" s="18">
        <f>SUM(C1:C32)</f>
        <v>78.524999999999991</v>
      </c>
      <c r="D33" s="18"/>
      <c r="E33" s="18"/>
      <c r="F33" s="18"/>
      <c r="G33" s="18"/>
      <c r="H33" s="18"/>
      <c r="I33" s="18"/>
    </row>
    <row r="35" spans="1:9" s="17" customFormat="1">
      <c r="A35" s="19">
        <v>23.6</v>
      </c>
      <c r="B35" s="19" t="s">
        <v>18</v>
      </c>
      <c r="C35" s="19">
        <v>2.0699999999999998</v>
      </c>
      <c r="D35" s="19">
        <v>1</v>
      </c>
      <c r="E35" s="19">
        <v>0</v>
      </c>
      <c r="F35" s="19">
        <v>0</v>
      </c>
      <c r="G35" s="19">
        <v>0</v>
      </c>
      <c r="H35" s="19">
        <v>0</v>
      </c>
      <c r="I35" s="17">
        <v>1</v>
      </c>
    </row>
    <row r="36" spans="1:9" s="23" customFormat="1">
      <c r="A36" s="24">
        <v>23.7</v>
      </c>
      <c r="B36" s="24" t="s">
        <v>71</v>
      </c>
      <c r="C36" s="24">
        <v>1.2749999999999999</v>
      </c>
      <c r="D36" s="24">
        <v>0</v>
      </c>
      <c r="E36" s="24">
        <v>1</v>
      </c>
      <c r="F36" s="24">
        <v>0</v>
      </c>
      <c r="G36" s="24">
        <v>0</v>
      </c>
      <c r="H36" s="24">
        <v>0</v>
      </c>
      <c r="I36" s="23">
        <v>1</v>
      </c>
    </row>
    <row r="37" spans="1:9">
      <c r="A37" s="18">
        <v>23.8</v>
      </c>
      <c r="B37" s="18" t="s">
        <v>56</v>
      </c>
      <c r="C37" s="18">
        <v>2.5499999999999998</v>
      </c>
      <c r="D37" s="18">
        <v>0</v>
      </c>
      <c r="E37" s="18">
        <v>2</v>
      </c>
      <c r="F37" s="18">
        <v>0</v>
      </c>
      <c r="G37" s="18">
        <v>0</v>
      </c>
      <c r="H37" s="18">
        <v>0</v>
      </c>
      <c r="I37">
        <v>1</v>
      </c>
    </row>
    <row r="38" spans="1:9" s="17" customFormat="1">
      <c r="A38" s="19">
        <v>24</v>
      </c>
      <c r="B38" s="19" t="s">
        <v>60</v>
      </c>
      <c r="C38" s="19">
        <v>2.0699999999999998</v>
      </c>
      <c r="D38" s="19">
        <v>1</v>
      </c>
      <c r="E38" s="19">
        <v>0</v>
      </c>
      <c r="F38" s="19">
        <v>0</v>
      </c>
      <c r="G38" s="19">
        <v>0</v>
      </c>
      <c r="H38" s="19">
        <v>0</v>
      </c>
      <c r="I38" s="17">
        <v>1</v>
      </c>
    </row>
    <row r="39" spans="1:9" s="17" customFormat="1">
      <c r="A39" s="19">
        <v>25</v>
      </c>
      <c r="B39" s="19" t="s">
        <v>64</v>
      </c>
      <c r="C39" s="19">
        <v>2.0699999999999998</v>
      </c>
      <c r="D39" s="19">
        <v>1</v>
      </c>
      <c r="E39" s="19">
        <v>0</v>
      </c>
      <c r="F39" s="19">
        <v>0</v>
      </c>
      <c r="G39" s="19">
        <v>0</v>
      </c>
      <c r="H39" s="19">
        <v>0</v>
      </c>
      <c r="I39" s="17">
        <v>1</v>
      </c>
    </row>
    <row r="40" spans="1:9">
      <c r="A40" s="18">
        <v>26</v>
      </c>
      <c r="B40" s="18" t="s">
        <v>23</v>
      </c>
      <c r="C40" s="18">
        <v>1.2749999999999999</v>
      </c>
      <c r="D40" s="18">
        <v>0</v>
      </c>
      <c r="E40" s="18">
        <v>1</v>
      </c>
      <c r="F40" s="18">
        <v>0</v>
      </c>
      <c r="G40" s="18">
        <v>0</v>
      </c>
      <c r="H40" s="18">
        <v>0</v>
      </c>
      <c r="I40">
        <v>1</v>
      </c>
    </row>
    <row r="41" spans="1:9">
      <c r="A41" s="18">
        <v>27</v>
      </c>
      <c r="B41" s="18" t="s">
        <v>39</v>
      </c>
      <c r="C41" s="18">
        <v>4.1399999999999997</v>
      </c>
      <c r="D41" s="18">
        <v>2</v>
      </c>
      <c r="E41" s="18">
        <v>0</v>
      </c>
      <c r="F41" s="18">
        <v>0</v>
      </c>
      <c r="G41" s="18">
        <v>0</v>
      </c>
      <c r="H41" s="18">
        <v>0</v>
      </c>
      <c r="I41">
        <v>1</v>
      </c>
    </row>
    <row r="42" spans="1:9">
      <c r="A42" s="18">
        <v>28</v>
      </c>
      <c r="B42" s="18" t="s">
        <v>75</v>
      </c>
      <c r="C42" s="18">
        <v>1.2749999999999999</v>
      </c>
      <c r="D42" s="18">
        <v>0</v>
      </c>
      <c r="E42" s="18">
        <v>1</v>
      </c>
      <c r="F42" s="18">
        <v>0</v>
      </c>
      <c r="G42" s="18">
        <v>0</v>
      </c>
      <c r="H42" s="18">
        <v>0</v>
      </c>
      <c r="I42">
        <v>1</v>
      </c>
    </row>
    <row r="43" spans="1:9">
      <c r="A43" s="18">
        <v>33</v>
      </c>
      <c r="B43" s="18" t="s">
        <v>59</v>
      </c>
      <c r="C43" s="18">
        <v>4.1399999999999997</v>
      </c>
      <c r="D43" s="18">
        <v>2</v>
      </c>
      <c r="E43" s="18">
        <v>0</v>
      </c>
      <c r="F43" s="18">
        <v>0</v>
      </c>
      <c r="G43" s="18">
        <v>0</v>
      </c>
      <c r="H43" s="18">
        <v>0</v>
      </c>
      <c r="I43">
        <v>1</v>
      </c>
    </row>
    <row r="44" spans="1:9">
      <c r="A44" s="18">
        <v>33.1</v>
      </c>
      <c r="B44" s="18" t="s">
        <v>53</v>
      </c>
      <c r="C44" s="18">
        <v>2.5499999999999998</v>
      </c>
      <c r="D44" s="18">
        <v>2</v>
      </c>
      <c r="E44" s="18">
        <v>0</v>
      </c>
      <c r="F44" s="18">
        <v>0</v>
      </c>
      <c r="G44" s="18">
        <v>0</v>
      </c>
      <c r="H44" s="18">
        <v>0</v>
      </c>
      <c r="I44">
        <v>1</v>
      </c>
    </row>
    <row r="45" spans="1:9">
      <c r="A45" s="18">
        <v>33.200000000000003</v>
      </c>
      <c r="B45" s="18" t="s">
        <v>48</v>
      </c>
      <c r="C45" s="18">
        <v>1.2749999999999999</v>
      </c>
      <c r="D45" s="18">
        <v>0</v>
      </c>
      <c r="E45" s="18">
        <v>1</v>
      </c>
      <c r="F45" s="18">
        <v>0</v>
      </c>
      <c r="G45" s="18">
        <v>0</v>
      </c>
      <c r="H45" s="18">
        <v>0</v>
      </c>
      <c r="I45">
        <v>1</v>
      </c>
    </row>
    <row r="46" spans="1:9">
      <c r="A46" s="18">
        <v>60</v>
      </c>
      <c r="B46" s="18" t="s">
        <v>6</v>
      </c>
      <c r="C46" s="18">
        <v>3.3449999999999998</v>
      </c>
      <c r="D46" s="18">
        <v>1</v>
      </c>
      <c r="E46" s="18">
        <v>1</v>
      </c>
      <c r="F46" s="18">
        <v>0</v>
      </c>
      <c r="G46" s="18">
        <v>0</v>
      </c>
      <c r="H46" s="18">
        <v>0</v>
      </c>
      <c r="I46">
        <v>1</v>
      </c>
    </row>
    <row r="47" spans="1:9">
      <c r="A47" s="18">
        <v>61</v>
      </c>
      <c r="B47" s="18" t="s">
        <v>31</v>
      </c>
      <c r="C47" s="18">
        <v>1.2749999999999999</v>
      </c>
      <c r="D47" s="18">
        <v>0</v>
      </c>
      <c r="E47" s="18">
        <v>1</v>
      </c>
      <c r="F47" s="18">
        <v>0</v>
      </c>
      <c r="G47" s="18">
        <v>0</v>
      </c>
      <c r="H47" s="18">
        <v>0</v>
      </c>
      <c r="I47">
        <v>1</v>
      </c>
    </row>
    <row r="48" spans="1:9">
      <c r="A48" s="18">
        <v>62</v>
      </c>
      <c r="B48" s="18" t="s">
        <v>109</v>
      </c>
      <c r="C48" s="18">
        <v>2.0699999999999998</v>
      </c>
      <c r="D48" s="18">
        <v>1</v>
      </c>
      <c r="E48" s="18">
        <v>0</v>
      </c>
      <c r="F48" s="18">
        <v>0</v>
      </c>
      <c r="G48" s="18">
        <v>0</v>
      </c>
      <c r="H48" s="18">
        <v>0</v>
      </c>
      <c r="I48">
        <v>1</v>
      </c>
    </row>
    <row r="49" spans="1:9">
      <c r="A49" s="18">
        <v>63</v>
      </c>
      <c r="B49" s="18" t="s">
        <v>73</v>
      </c>
      <c r="C49" s="18">
        <v>1.2569999999999999</v>
      </c>
      <c r="D49" s="18">
        <v>0</v>
      </c>
      <c r="E49" s="18">
        <v>1</v>
      </c>
      <c r="F49" s="18">
        <v>0</v>
      </c>
      <c r="G49" s="18">
        <v>0</v>
      </c>
      <c r="H49" s="18">
        <v>0</v>
      </c>
      <c r="I49">
        <v>1</v>
      </c>
    </row>
    <row r="50" spans="1:9">
      <c r="A50" s="18">
        <v>64</v>
      </c>
      <c r="B50" s="18" t="s">
        <v>40</v>
      </c>
      <c r="C50" s="18">
        <v>2.0699999999999998</v>
      </c>
      <c r="D50" s="18">
        <v>1</v>
      </c>
      <c r="E50" s="18">
        <v>0</v>
      </c>
      <c r="F50" s="18">
        <v>0</v>
      </c>
      <c r="G50" s="18">
        <v>0</v>
      </c>
      <c r="H50" s="18">
        <v>0</v>
      </c>
      <c r="I50">
        <v>1</v>
      </c>
    </row>
    <row r="51" spans="1:9">
      <c r="A51" s="18">
        <v>65</v>
      </c>
      <c r="B51" s="18" t="s">
        <v>45</v>
      </c>
      <c r="C51" s="18">
        <v>3.7</v>
      </c>
      <c r="D51" s="18">
        <v>0</v>
      </c>
      <c r="E51" s="18">
        <v>0</v>
      </c>
      <c r="F51" s="18">
        <v>1</v>
      </c>
      <c r="G51" s="18">
        <v>0</v>
      </c>
      <c r="H51" s="18">
        <v>0</v>
      </c>
      <c r="I51">
        <v>1</v>
      </c>
    </row>
    <row r="52" spans="1:9" s="23" customFormat="1">
      <c r="A52" s="24">
        <v>66</v>
      </c>
      <c r="B52" s="24" t="s">
        <v>51</v>
      </c>
      <c r="C52" s="24">
        <v>2.0699999999999998</v>
      </c>
      <c r="D52" s="24">
        <v>1</v>
      </c>
      <c r="E52" s="24">
        <v>0</v>
      </c>
      <c r="F52" s="24">
        <v>0</v>
      </c>
      <c r="G52" s="24">
        <v>0</v>
      </c>
      <c r="H52" s="24">
        <v>0</v>
      </c>
      <c r="I52" s="23">
        <v>1</v>
      </c>
    </row>
    <row r="53" spans="1:9" s="17" customFormat="1">
      <c r="A53" s="19">
        <v>70</v>
      </c>
      <c r="B53" s="19" t="s">
        <v>5</v>
      </c>
      <c r="C53" s="19">
        <v>2.0699999999999998</v>
      </c>
      <c r="D53" s="19">
        <v>1</v>
      </c>
      <c r="E53" s="19">
        <v>0</v>
      </c>
      <c r="F53" s="19">
        <v>0</v>
      </c>
      <c r="G53" s="19">
        <v>0</v>
      </c>
      <c r="H53" s="19">
        <v>0</v>
      </c>
      <c r="I53" s="17">
        <v>1</v>
      </c>
    </row>
    <row r="54" spans="1:9" s="17" customFormat="1">
      <c r="A54" s="19">
        <v>71</v>
      </c>
      <c r="B54" s="19" t="s">
        <v>22</v>
      </c>
      <c r="C54" s="19">
        <v>2.0699999999999998</v>
      </c>
      <c r="D54" s="19">
        <v>1</v>
      </c>
      <c r="E54" s="19">
        <v>0</v>
      </c>
      <c r="F54" s="19">
        <v>0</v>
      </c>
      <c r="G54" s="19">
        <v>0</v>
      </c>
      <c r="H54" s="19">
        <v>0</v>
      </c>
      <c r="I54" s="17">
        <v>1</v>
      </c>
    </row>
    <row r="55" spans="1:9">
      <c r="A55" s="18">
        <v>71.5</v>
      </c>
      <c r="B55" s="18" t="s">
        <v>34</v>
      </c>
      <c r="C55" s="18">
        <v>1.2749999999999999</v>
      </c>
      <c r="D55" s="18">
        <v>0</v>
      </c>
      <c r="E55" s="18">
        <v>1</v>
      </c>
      <c r="F55" s="18">
        <v>0</v>
      </c>
      <c r="G55" s="18">
        <v>0</v>
      </c>
      <c r="H55" s="18">
        <v>0</v>
      </c>
      <c r="I55">
        <v>1</v>
      </c>
    </row>
    <row r="56" spans="1:9">
      <c r="A56" s="18">
        <v>72</v>
      </c>
      <c r="B56" s="18" t="s">
        <v>0</v>
      </c>
      <c r="C56" s="18">
        <v>2.0699999999999998</v>
      </c>
      <c r="D56" s="18">
        <v>1</v>
      </c>
      <c r="E56" s="18">
        <v>0</v>
      </c>
      <c r="F56" s="18">
        <v>0</v>
      </c>
      <c r="G56" s="18">
        <v>0</v>
      </c>
      <c r="H56" s="18">
        <v>0</v>
      </c>
      <c r="I56">
        <v>1</v>
      </c>
    </row>
    <row r="57" spans="1:9">
      <c r="A57" s="18">
        <v>73</v>
      </c>
      <c r="B57" s="18" t="s">
        <v>25</v>
      </c>
      <c r="C57" s="18">
        <v>1.2749999999999999</v>
      </c>
      <c r="D57" s="18">
        <v>0</v>
      </c>
      <c r="E57" s="18">
        <v>1</v>
      </c>
      <c r="F57" s="18">
        <v>0</v>
      </c>
      <c r="G57" s="18">
        <v>0</v>
      </c>
      <c r="H57" s="18">
        <v>0</v>
      </c>
      <c r="I57">
        <v>1</v>
      </c>
    </row>
    <row r="58" spans="1:9" s="14" customFormat="1">
      <c r="A58" s="25">
        <v>76</v>
      </c>
      <c r="B58" s="25" t="s">
        <v>12</v>
      </c>
      <c r="C58" s="25"/>
      <c r="D58" s="25">
        <v>1</v>
      </c>
      <c r="E58" s="25">
        <v>0</v>
      </c>
      <c r="F58" s="25">
        <v>0</v>
      </c>
      <c r="G58" s="25">
        <v>0</v>
      </c>
      <c r="H58" s="25">
        <v>0</v>
      </c>
      <c r="I58" s="14">
        <v>1</v>
      </c>
    </row>
    <row r="59" spans="1:9" s="23" customFormat="1">
      <c r="A59" s="24">
        <v>77</v>
      </c>
      <c r="B59" s="24" t="s">
        <v>15</v>
      </c>
      <c r="C59" s="24"/>
      <c r="D59" s="24">
        <v>1</v>
      </c>
      <c r="E59" s="24">
        <v>0</v>
      </c>
      <c r="F59" s="24">
        <v>0</v>
      </c>
      <c r="G59" s="24">
        <v>1</v>
      </c>
      <c r="H59" s="24">
        <v>0</v>
      </c>
      <c r="I59" s="23">
        <v>1</v>
      </c>
    </row>
    <row r="60" spans="1:9">
      <c r="A60" s="18"/>
      <c r="B60" s="18">
        <v>0</v>
      </c>
      <c r="C60" s="18">
        <f>SUM(C35:C59)</f>
        <v>49.236999999999995</v>
      </c>
      <c r="D60" s="18">
        <v>180</v>
      </c>
      <c r="E60" s="18">
        <v>150</v>
      </c>
      <c r="F60" s="18" t="s">
        <v>143</v>
      </c>
      <c r="G60" s="18">
        <v>400</v>
      </c>
      <c r="H60" s="18">
        <v>250</v>
      </c>
      <c r="I60" t="s">
        <v>148</v>
      </c>
    </row>
    <row r="62" spans="1:9">
      <c r="C62">
        <f>C60+C33</f>
        <v>127.76199999999999</v>
      </c>
    </row>
    <row r="64" spans="1:9" s="17" customFormat="1">
      <c r="B64" s="19" t="s">
        <v>152</v>
      </c>
      <c r="C64" s="19">
        <v>1.2749999999999999</v>
      </c>
    </row>
    <row r="65" spans="2:3">
      <c r="B65" s="18" t="s">
        <v>153</v>
      </c>
      <c r="C65" s="18">
        <v>1.2749999999999999</v>
      </c>
    </row>
    <row r="66" spans="2:3">
      <c r="B66" s="18" t="s">
        <v>154</v>
      </c>
      <c r="C66" s="18">
        <v>6</v>
      </c>
    </row>
    <row r="67" spans="2:3" s="17" customFormat="1">
      <c r="B67" s="19" t="s">
        <v>155</v>
      </c>
      <c r="C67" s="19">
        <v>1.2749999999999999</v>
      </c>
    </row>
    <row r="68" spans="2:3">
      <c r="B68" s="18"/>
      <c r="C68" s="18">
        <f>SUM(C64:C67)</f>
        <v>9.8250000000000011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Неделя</vt:lpstr>
      <vt:lpstr>Понедельник</vt:lpstr>
      <vt:lpstr>Вторник</vt:lpstr>
      <vt:lpstr>среда</vt:lpstr>
      <vt:lpstr>четверг</vt:lpstr>
      <vt:lpstr>пятница</vt:lpstr>
      <vt:lpstr>ПН</vt:lpstr>
      <vt:lpstr>ВТ</vt:lpstr>
      <vt:lpstr>СР</vt:lpstr>
      <vt:lpstr>ЧТ</vt:lpstr>
      <vt:lpstr>ПТ</vt:lpstr>
      <vt:lpstr>Вторник!Excel_BuiltIn__FilterDatabase</vt:lpstr>
      <vt:lpstr>ПН!Excel_BuiltIn__FilterDatabase</vt:lpstr>
      <vt:lpstr>Понедельник!Excel_BuiltIn__FilterDatabase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cloudconvert_15</cp:lastModifiedBy>
  <cp:lastPrinted>2025-02-12T06:24:53Z</cp:lastPrinted>
  <dcterms:created xsi:type="dcterms:W3CDTF">2026-02-13T15:34:13Z</dcterms:created>
  <dcterms:modified xsi:type="dcterms:W3CDTF">2026-02-13T15:34:13Z</dcterms:modified>
</cp:coreProperties>
</file>